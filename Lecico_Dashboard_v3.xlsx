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1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CSW\Q4_2021_2025\"/>
    </mc:Choice>
  </mc:AlternateContent>
  <xr:revisionPtr revIDLastSave="0" documentId="13_ncr:1_{DBFBA94F-380E-4884-B1BD-482B30A8C20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Dashboard" sheetId="8" r:id="rId1"/>
    <sheet name="Events Log" sheetId="9" r:id="rId2"/>
    <sheet name="Income Statement" sheetId="2" r:id="rId3"/>
    <sheet name="Balance Sheet" sheetId="3" r:id="rId4"/>
    <sheet name="Cash Flow" sheetId="7" r:id="rId5"/>
    <sheet name="Ratio Analysis" sheetId="4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5" i="8" l="1"/>
  <c r="N66" i="8"/>
  <c r="N65" i="8"/>
  <c r="L66" i="8"/>
  <c r="L65" i="8"/>
  <c r="H66" i="8"/>
  <c r="F66" i="8"/>
  <c r="F65" i="8"/>
  <c r="D66" i="8"/>
  <c r="D65" i="8"/>
  <c r="B65" i="8"/>
  <c r="P47" i="8"/>
  <c r="O47" i="8"/>
  <c r="N47" i="8"/>
  <c r="M47" i="8"/>
  <c r="L47" i="8"/>
  <c r="P46" i="8"/>
  <c r="O46" i="8"/>
  <c r="N46" i="8"/>
  <c r="M46" i="8"/>
  <c r="L46" i="8"/>
  <c r="P45" i="8"/>
  <c r="O45" i="8"/>
  <c r="N45" i="8"/>
  <c r="M45" i="8"/>
  <c r="L45" i="8"/>
  <c r="L48" i="8" s="1"/>
  <c r="G47" i="8"/>
  <c r="F47" i="8"/>
  <c r="E47" i="8"/>
  <c r="D47" i="8"/>
  <c r="C47" i="8"/>
  <c r="G46" i="8"/>
  <c r="F46" i="8"/>
  <c r="E46" i="8"/>
  <c r="D46" i="8"/>
  <c r="C46" i="8"/>
  <c r="G45" i="8"/>
  <c r="F45" i="8"/>
  <c r="E45" i="8"/>
  <c r="D45" i="8"/>
  <c r="C45" i="8"/>
  <c r="P28" i="8"/>
  <c r="O28" i="8"/>
  <c r="Q28" i="8" s="1"/>
  <c r="N28" i="8"/>
  <c r="M28" i="8"/>
  <c r="L28" i="8"/>
  <c r="P27" i="8"/>
  <c r="O27" i="8"/>
  <c r="N27" i="8"/>
  <c r="M27" i="8"/>
  <c r="L27" i="8"/>
  <c r="P26" i="8"/>
  <c r="O26" i="8"/>
  <c r="N26" i="8"/>
  <c r="M26" i="8"/>
  <c r="L26" i="8"/>
  <c r="G28" i="8"/>
  <c r="F28" i="8"/>
  <c r="E28" i="8"/>
  <c r="D28" i="8"/>
  <c r="C28" i="8"/>
  <c r="G27" i="8"/>
  <c r="F27" i="8"/>
  <c r="E27" i="8"/>
  <c r="D27" i="8"/>
  <c r="C27" i="8"/>
  <c r="G26" i="8"/>
  <c r="F26" i="8"/>
  <c r="E26" i="8"/>
  <c r="D26" i="8"/>
  <c r="C26" i="8"/>
  <c r="P11" i="8"/>
  <c r="O11" i="8"/>
  <c r="N11" i="8"/>
  <c r="M11" i="8"/>
  <c r="L11" i="8"/>
  <c r="P10" i="8"/>
  <c r="O10" i="8"/>
  <c r="N10" i="8"/>
  <c r="M10" i="8"/>
  <c r="L10" i="8"/>
  <c r="P9" i="8"/>
  <c r="O9" i="8"/>
  <c r="N9" i="8"/>
  <c r="M9" i="8"/>
  <c r="L9" i="8"/>
  <c r="P8" i="8"/>
  <c r="O8" i="8"/>
  <c r="N8" i="8"/>
  <c r="M8" i="8"/>
  <c r="L8" i="8"/>
  <c r="P7" i="8"/>
  <c r="O7" i="8"/>
  <c r="N7" i="8"/>
  <c r="M7" i="8"/>
  <c r="L7" i="8"/>
  <c r="G9" i="8"/>
  <c r="F9" i="8"/>
  <c r="E9" i="8"/>
  <c r="D9" i="8"/>
  <c r="C9" i="8"/>
  <c r="G8" i="8"/>
  <c r="F8" i="8"/>
  <c r="E8" i="8"/>
  <c r="D8" i="8"/>
  <c r="C8" i="8"/>
  <c r="G7" i="8"/>
  <c r="F7" i="8"/>
  <c r="E7" i="8"/>
  <c r="D7" i="8"/>
  <c r="C7" i="8"/>
  <c r="AB6" i="4"/>
  <c r="AB7" i="4"/>
  <c r="AB8" i="4"/>
  <c r="AB9" i="4"/>
  <c r="AB10" i="4"/>
  <c r="AB11" i="4"/>
  <c r="AB13" i="4"/>
  <c r="AB14" i="4"/>
  <c r="AB15" i="4"/>
  <c r="AB17" i="4"/>
  <c r="AB18" i="4"/>
  <c r="AB19" i="4"/>
  <c r="AB21" i="4"/>
  <c r="AB22" i="4"/>
  <c r="AB23" i="4"/>
  <c r="AB24" i="4"/>
  <c r="AB25" i="4"/>
  <c r="AB26" i="4"/>
  <c r="AB27" i="4"/>
  <c r="AB28" i="4"/>
  <c r="AB30" i="4"/>
  <c r="AB31" i="4"/>
  <c r="AB32" i="4"/>
  <c r="AB34" i="4"/>
  <c r="AB35" i="4"/>
  <c r="AB37" i="4"/>
  <c r="AB38" i="4"/>
  <c r="AB39" i="4"/>
  <c r="AB57" i="7"/>
  <c r="AB48" i="7"/>
  <c r="AB26" i="7"/>
  <c r="AB33" i="7" s="1"/>
  <c r="AB22" i="2"/>
  <c r="AB20" i="2"/>
  <c r="AB8" i="2"/>
  <c r="AB16" i="2" s="1"/>
  <c r="B74" i="4"/>
  <c r="F7" i="7"/>
  <c r="F8" i="7"/>
  <c r="F9" i="7"/>
  <c r="F10" i="7"/>
  <c r="F12" i="7"/>
  <c r="F13" i="7"/>
  <c r="F14" i="7"/>
  <c r="F15" i="7"/>
  <c r="F16" i="7"/>
  <c r="F18" i="7"/>
  <c r="F19" i="7"/>
  <c r="F21" i="7"/>
  <c r="F22" i="7"/>
  <c r="F25" i="7"/>
  <c r="F28" i="7"/>
  <c r="F29" i="7"/>
  <c r="F30" i="7"/>
  <c r="F31" i="7"/>
  <c r="F32" i="7"/>
  <c r="F34" i="7"/>
  <c r="F35" i="7"/>
  <c r="F37" i="7"/>
  <c r="F38" i="7"/>
  <c r="F41" i="7"/>
  <c r="F42" i="7"/>
  <c r="F43" i="7"/>
  <c r="F47" i="7"/>
  <c r="F50" i="7"/>
  <c r="F51" i="7"/>
  <c r="F54" i="7"/>
  <c r="F56" i="7"/>
  <c r="F59" i="7"/>
  <c r="F60" i="7"/>
  <c r="AA16" i="2"/>
  <c r="AA21" i="2" s="1"/>
  <c r="Z16" i="2"/>
  <c r="Z21" i="2" s="1"/>
  <c r="Y16" i="2"/>
  <c r="Y17" i="2" s="1"/>
  <c r="X16" i="2"/>
  <c r="X17" i="2" s="1"/>
  <c r="W16" i="2"/>
  <c r="W21" i="2" s="1"/>
  <c r="V16" i="2"/>
  <c r="U7" i="4" s="1"/>
  <c r="U16" i="2"/>
  <c r="T7" i="4" s="1"/>
  <c r="T16" i="2"/>
  <c r="T21" i="2" s="1"/>
  <c r="R9" i="4" s="1"/>
  <c r="S16" i="2"/>
  <c r="R7" i="4" s="1"/>
  <c r="R16" i="2"/>
  <c r="Q7" i="4" s="1"/>
  <c r="Q16" i="2"/>
  <c r="Q21" i="2" s="1"/>
  <c r="Q24" i="2" s="1"/>
  <c r="P16" i="2"/>
  <c r="P21" i="2" s="1"/>
  <c r="P24" i="2" s="1"/>
  <c r="O16" i="2"/>
  <c r="O17" i="2" s="1"/>
  <c r="N16" i="2"/>
  <c r="M7" i="4" s="1"/>
  <c r="M16" i="2"/>
  <c r="M17" i="2" s="1"/>
  <c r="A135" i="4"/>
  <c r="A134" i="4"/>
  <c r="A133" i="4"/>
  <c r="B133" i="4"/>
  <c r="C133" i="4"/>
  <c r="D133" i="4"/>
  <c r="E133" i="4"/>
  <c r="F133" i="4"/>
  <c r="A131" i="4"/>
  <c r="A130" i="4"/>
  <c r="A129" i="4"/>
  <c r="A128" i="4"/>
  <c r="A127" i="4"/>
  <c r="B127" i="4"/>
  <c r="C127" i="4"/>
  <c r="D127" i="4"/>
  <c r="E127" i="4"/>
  <c r="F127" i="4"/>
  <c r="A125" i="4"/>
  <c r="A124" i="4"/>
  <c r="A123" i="4"/>
  <c r="A122" i="4"/>
  <c r="B122" i="4"/>
  <c r="C122" i="4"/>
  <c r="D122" i="4"/>
  <c r="E122" i="4"/>
  <c r="F122" i="4"/>
  <c r="A120" i="4"/>
  <c r="A119" i="4"/>
  <c r="A118" i="4"/>
  <c r="A117" i="4"/>
  <c r="B117" i="4"/>
  <c r="C117" i="4"/>
  <c r="D117" i="4"/>
  <c r="E117" i="4"/>
  <c r="F117" i="4"/>
  <c r="A115" i="4"/>
  <c r="A114" i="4"/>
  <c r="A113" i="4"/>
  <c r="B113" i="4"/>
  <c r="C113" i="4"/>
  <c r="D113" i="4"/>
  <c r="E113" i="4"/>
  <c r="F113" i="4"/>
  <c r="Y26" i="4"/>
  <c r="Y27" i="4" s="1"/>
  <c r="Y24" i="4"/>
  <c r="Y25" i="4" s="1"/>
  <c r="Y22" i="4"/>
  <c r="Y23" i="4" s="1"/>
  <c r="T26" i="4"/>
  <c r="T27" i="4" s="1"/>
  <c r="T24" i="4"/>
  <c r="T25" i="4" s="1"/>
  <c r="T22" i="4"/>
  <c r="T23" i="4" s="1"/>
  <c r="O26" i="4"/>
  <c r="O27" i="4" s="1"/>
  <c r="O24" i="4"/>
  <c r="O25" i="4" s="1"/>
  <c r="O22" i="4"/>
  <c r="O23" i="4" s="1"/>
  <c r="J26" i="4"/>
  <c r="J27" i="4" s="1"/>
  <c r="J24" i="4"/>
  <c r="J25" i="4" s="1"/>
  <c r="J22" i="4"/>
  <c r="J23" i="4" s="1"/>
  <c r="E26" i="4"/>
  <c r="E27" i="4" s="1"/>
  <c r="E24" i="4"/>
  <c r="E25" i="4" s="1"/>
  <c r="E22" i="4"/>
  <c r="E23" i="4" s="1"/>
  <c r="E15" i="4"/>
  <c r="B57" i="7"/>
  <c r="C57" i="7"/>
  <c r="D57" i="7"/>
  <c r="E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B48" i="7"/>
  <c r="C48" i="7"/>
  <c r="D48" i="7"/>
  <c r="E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B26" i="7"/>
  <c r="B33" i="7" s="1"/>
  <c r="B39" i="7" s="1"/>
  <c r="B35" i="4" s="1"/>
  <c r="C26" i="7"/>
  <c r="C33" i="7" s="1"/>
  <c r="C39" i="7" s="1"/>
  <c r="C35" i="4" s="1"/>
  <c r="D26" i="7"/>
  <c r="D33" i="7" s="1"/>
  <c r="D39" i="7" s="1"/>
  <c r="D35" i="4" s="1"/>
  <c r="E26" i="7"/>
  <c r="E33" i="7" s="1"/>
  <c r="G26" i="7"/>
  <c r="G33" i="7" s="1"/>
  <c r="G39" i="7" s="1"/>
  <c r="G39" i="4" s="1"/>
  <c r="H26" i="7"/>
  <c r="H33" i="7" s="1"/>
  <c r="H39" i="7" s="1"/>
  <c r="H39" i="4" s="1"/>
  <c r="I26" i="7"/>
  <c r="I33" i="7" s="1"/>
  <c r="I39" i="7" s="1"/>
  <c r="I39" i="4" s="1"/>
  <c r="J26" i="7"/>
  <c r="J33" i="7" s="1"/>
  <c r="J39" i="7" s="1"/>
  <c r="J34" i="4" s="1"/>
  <c r="K26" i="7"/>
  <c r="K33" i="7" s="1"/>
  <c r="K39" i="7" s="1"/>
  <c r="K39" i="4" s="1"/>
  <c r="L26" i="7"/>
  <c r="L33" i="7" s="1"/>
  <c r="L39" i="7" s="1"/>
  <c r="L35" i="4" s="1"/>
  <c r="M26" i="7"/>
  <c r="M33" i="7" s="1"/>
  <c r="M39" i="7" s="1"/>
  <c r="M39" i="4" s="1"/>
  <c r="N26" i="7"/>
  <c r="N33" i="7" s="1"/>
  <c r="N39" i="7" s="1"/>
  <c r="N38" i="4" s="1"/>
  <c r="O26" i="7"/>
  <c r="O33" i="7" s="1"/>
  <c r="O39" i="7" s="1"/>
  <c r="O35" i="4" s="1"/>
  <c r="P26" i="7"/>
  <c r="P33" i="7" s="1"/>
  <c r="P39" i="7" s="1"/>
  <c r="P35" i="4" s="1"/>
  <c r="Q26" i="7"/>
  <c r="Q33" i="7" s="1"/>
  <c r="Q39" i="7" s="1"/>
  <c r="Q39" i="4" s="1"/>
  <c r="R26" i="7"/>
  <c r="R33" i="7" s="1"/>
  <c r="R39" i="7" s="1"/>
  <c r="R39" i="4" s="1"/>
  <c r="S26" i="7"/>
  <c r="S33" i="7" s="1"/>
  <c r="S39" i="7" s="1"/>
  <c r="S39" i="4" s="1"/>
  <c r="T26" i="7"/>
  <c r="T33" i="7" s="1"/>
  <c r="T39" i="7" s="1"/>
  <c r="T38" i="4" s="1"/>
  <c r="U26" i="7"/>
  <c r="U33" i="7" s="1"/>
  <c r="U39" i="7" s="1"/>
  <c r="U39" i="4" s="1"/>
  <c r="V26" i="7"/>
  <c r="V33" i="7" s="1"/>
  <c r="V39" i="7" s="1"/>
  <c r="W26" i="7"/>
  <c r="W33" i="7" s="1"/>
  <c r="W39" i="7" s="1"/>
  <c r="W39" i="4" s="1"/>
  <c r="X26" i="7"/>
  <c r="X33" i="7" s="1"/>
  <c r="X39" i="7" s="1"/>
  <c r="X35" i="4" s="1"/>
  <c r="Y26" i="7"/>
  <c r="Y33" i="7" s="1"/>
  <c r="Y39" i="7" s="1"/>
  <c r="Y39" i="4" s="1"/>
  <c r="Z26" i="7"/>
  <c r="Z33" i="7" s="1"/>
  <c r="Z39" i="7" s="1"/>
  <c r="Z38" i="4" s="1"/>
  <c r="C27" i="3"/>
  <c r="B11" i="4" s="1"/>
  <c r="I27" i="3"/>
  <c r="I11" i="4" s="1"/>
  <c r="H27" i="3"/>
  <c r="H11" i="4" s="1"/>
  <c r="J27" i="3"/>
  <c r="K11" i="4" s="1"/>
  <c r="C115" i="4" s="1"/>
  <c r="K27" i="3"/>
  <c r="L11" i="4" s="1"/>
  <c r="G27" i="3"/>
  <c r="G11" i="4" s="1"/>
  <c r="V27" i="3"/>
  <c r="V29" i="3" s="1"/>
  <c r="U27" i="3"/>
  <c r="U29" i="3" s="1"/>
  <c r="T27" i="3"/>
  <c r="T29" i="3" s="1"/>
  <c r="S27" i="3"/>
  <c r="S29" i="3" s="1"/>
  <c r="R27" i="3"/>
  <c r="R29" i="3" s="1"/>
  <c r="Q27" i="3"/>
  <c r="S11" i="4" s="1"/>
  <c r="P27" i="3"/>
  <c r="P29" i="3" s="1"/>
  <c r="O27" i="3"/>
  <c r="O29" i="3" s="1"/>
  <c r="N27" i="3"/>
  <c r="N29" i="3" s="1"/>
  <c r="M27" i="3"/>
  <c r="M29" i="3" s="1"/>
  <c r="L27" i="3"/>
  <c r="L29" i="3" s="1"/>
  <c r="F27" i="3"/>
  <c r="F29" i="3" s="1"/>
  <c r="F46" i="3" s="1"/>
  <c r="E27" i="3"/>
  <c r="E29" i="3" s="1"/>
  <c r="D17" i="4" s="1"/>
  <c r="D27" i="3"/>
  <c r="C11" i="4" s="1"/>
  <c r="C36" i="3"/>
  <c r="C18" i="3"/>
  <c r="C12" i="3"/>
  <c r="V44" i="3"/>
  <c r="Z15" i="4" s="1"/>
  <c r="U44" i="3"/>
  <c r="U45" i="3" s="1"/>
  <c r="T44" i="3"/>
  <c r="W15" i="4" s="1"/>
  <c r="S44" i="3"/>
  <c r="V15" i="4" s="1"/>
  <c r="R44" i="3"/>
  <c r="U15" i="4" s="1"/>
  <c r="Q44" i="3"/>
  <c r="P44" i="3"/>
  <c r="O44" i="3"/>
  <c r="N44" i="3"/>
  <c r="O15" i="4" s="1"/>
  <c r="M44" i="3"/>
  <c r="N15" i="4" s="1"/>
  <c r="L44" i="3"/>
  <c r="K44" i="3"/>
  <c r="L15" i="4" s="1"/>
  <c r="J44" i="3"/>
  <c r="K15" i="4" s="1"/>
  <c r="C120" i="4" s="1"/>
  <c r="I44" i="3"/>
  <c r="H44" i="3"/>
  <c r="H15" i="4" s="1"/>
  <c r="G44" i="3"/>
  <c r="G12" i="3"/>
  <c r="G18" i="3"/>
  <c r="G36" i="3"/>
  <c r="F12" i="3"/>
  <c r="F36" i="3"/>
  <c r="R36" i="3"/>
  <c r="V36" i="3"/>
  <c r="N36" i="3"/>
  <c r="J36" i="3"/>
  <c r="Q36" i="3"/>
  <c r="O36" i="3"/>
  <c r="P36" i="3"/>
  <c r="M36" i="3"/>
  <c r="L36" i="3"/>
  <c r="K36" i="3"/>
  <c r="H36" i="3"/>
  <c r="I36" i="3"/>
  <c r="E36" i="3"/>
  <c r="D36" i="3"/>
  <c r="Q12" i="3"/>
  <c r="C44" i="3"/>
  <c r="B15" i="4" s="1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F18" i="3"/>
  <c r="F13" i="4" s="1"/>
  <c r="B118" i="4" s="1"/>
  <c r="E18" i="3"/>
  <c r="D13" i="4" s="1"/>
  <c r="D18" i="3"/>
  <c r="D12" i="3"/>
  <c r="E12" i="3"/>
  <c r="H12" i="3"/>
  <c r="I12" i="3"/>
  <c r="J12" i="3"/>
  <c r="K12" i="3"/>
  <c r="L12" i="3"/>
  <c r="M12" i="3"/>
  <c r="N12" i="3"/>
  <c r="O12" i="3"/>
  <c r="P12" i="3"/>
  <c r="R12" i="3"/>
  <c r="S12" i="3"/>
  <c r="T12" i="3"/>
  <c r="U12" i="3"/>
  <c r="V12" i="3"/>
  <c r="L7" i="2"/>
  <c r="K22" i="4" s="1"/>
  <c r="K23" i="4" s="1"/>
  <c r="C128" i="4" s="1"/>
  <c r="I8" i="2"/>
  <c r="H6" i="4" s="1"/>
  <c r="J8" i="2"/>
  <c r="I6" i="4" s="1"/>
  <c r="K8" i="2"/>
  <c r="J6" i="4" s="1"/>
  <c r="H8" i="2"/>
  <c r="H9" i="2" s="1"/>
  <c r="L6" i="2"/>
  <c r="K24" i="4" s="1"/>
  <c r="K25" i="4" s="1"/>
  <c r="C129" i="4" s="1"/>
  <c r="G6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J9" i="2"/>
  <c r="D8" i="2"/>
  <c r="C6" i="4" s="1"/>
  <c r="E8" i="2"/>
  <c r="D6" i="4" s="1"/>
  <c r="F8" i="2"/>
  <c r="E6" i="4" s="1"/>
  <c r="C8" i="2"/>
  <c r="G7" i="2"/>
  <c r="F26" i="4" s="1"/>
  <c r="F27" i="4" s="1"/>
  <c r="B130" i="4" s="1"/>
  <c r="C26" i="4"/>
  <c r="C27" i="4" s="1"/>
  <c r="D26" i="4"/>
  <c r="D27" i="4" s="1"/>
  <c r="G26" i="4"/>
  <c r="G27" i="4" s="1"/>
  <c r="H26" i="4"/>
  <c r="H27" i="4" s="1"/>
  <c r="I26" i="4"/>
  <c r="I27" i="4" s="1"/>
  <c r="L26" i="4"/>
  <c r="L27" i="4" s="1"/>
  <c r="M26" i="4"/>
  <c r="M27" i="4" s="1"/>
  <c r="N26" i="4"/>
  <c r="N27" i="4" s="1"/>
  <c r="P26" i="4"/>
  <c r="P27" i="4" s="1"/>
  <c r="D130" i="4" s="1"/>
  <c r="Q26" i="4"/>
  <c r="Q27" i="4" s="1"/>
  <c r="R26" i="4"/>
  <c r="R27" i="4" s="1"/>
  <c r="S26" i="4"/>
  <c r="S27" i="4" s="1"/>
  <c r="U26" i="4"/>
  <c r="U27" i="4" s="1"/>
  <c r="E130" i="4" s="1"/>
  <c r="V26" i="4"/>
  <c r="V27" i="4" s="1"/>
  <c r="W26" i="4"/>
  <c r="W27" i="4" s="1"/>
  <c r="X26" i="4"/>
  <c r="X27" i="4" s="1"/>
  <c r="Z26" i="4"/>
  <c r="Z27" i="4" s="1"/>
  <c r="F130" i="4" s="1"/>
  <c r="C24" i="4"/>
  <c r="C25" i="4" s="1"/>
  <c r="D24" i="4"/>
  <c r="D25" i="4" s="1"/>
  <c r="G24" i="4"/>
  <c r="G25" i="4" s="1"/>
  <c r="H24" i="4"/>
  <c r="H25" i="4" s="1"/>
  <c r="I24" i="4"/>
  <c r="I25" i="4" s="1"/>
  <c r="L24" i="4"/>
  <c r="L25" i="4" s="1"/>
  <c r="M24" i="4"/>
  <c r="M25" i="4" s="1"/>
  <c r="N24" i="4"/>
  <c r="N25" i="4" s="1"/>
  <c r="P24" i="4"/>
  <c r="P25" i="4" s="1"/>
  <c r="D129" i="4" s="1"/>
  <c r="Q24" i="4"/>
  <c r="Q25" i="4" s="1"/>
  <c r="R24" i="4"/>
  <c r="R25" i="4" s="1"/>
  <c r="S24" i="4"/>
  <c r="S25" i="4" s="1"/>
  <c r="U24" i="4"/>
  <c r="U25" i="4" s="1"/>
  <c r="V24" i="4"/>
  <c r="V25" i="4" s="1"/>
  <c r="W24" i="4"/>
  <c r="W25" i="4" s="1"/>
  <c r="X24" i="4"/>
  <c r="X25" i="4" s="1"/>
  <c r="Z24" i="4"/>
  <c r="Z25" i="4" s="1"/>
  <c r="F129" i="4" s="1"/>
  <c r="C22" i="4"/>
  <c r="C23" i="4" s="1"/>
  <c r="D22" i="4"/>
  <c r="D23" i="4" s="1"/>
  <c r="G22" i="4"/>
  <c r="G23" i="4" s="1"/>
  <c r="H22" i="4"/>
  <c r="H23" i="4" s="1"/>
  <c r="I22" i="4"/>
  <c r="I23" i="4" s="1"/>
  <c r="L22" i="4"/>
  <c r="L23" i="4" s="1"/>
  <c r="M22" i="4"/>
  <c r="M23" i="4" s="1"/>
  <c r="N22" i="4"/>
  <c r="N23" i="4" s="1"/>
  <c r="P22" i="4"/>
  <c r="P23" i="4" s="1"/>
  <c r="D128" i="4" s="1"/>
  <c r="Q22" i="4"/>
  <c r="Q23" i="4" s="1"/>
  <c r="R22" i="4"/>
  <c r="R23" i="4" s="1"/>
  <c r="S22" i="4"/>
  <c r="S23" i="4" s="1"/>
  <c r="U22" i="4"/>
  <c r="U23" i="4" s="1"/>
  <c r="E128" i="4" s="1"/>
  <c r="V22" i="4"/>
  <c r="V23" i="4" s="1"/>
  <c r="W22" i="4"/>
  <c r="W23" i="4" s="1"/>
  <c r="X22" i="4"/>
  <c r="X23" i="4" s="1"/>
  <c r="Z22" i="4"/>
  <c r="Z23" i="4" s="1"/>
  <c r="F128" i="4" s="1"/>
  <c r="D15" i="4"/>
  <c r="F15" i="4"/>
  <c r="B120" i="4" s="1"/>
  <c r="X7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B26" i="4"/>
  <c r="B27" i="4" s="1"/>
  <c r="B24" i="4"/>
  <c r="B25" i="4" s="1"/>
  <c r="B22" i="4"/>
  <c r="B23" i="4" s="1"/>
  <c r="Q26" i="8" l="1"/>
  <c r="Q11" i="8"/>
  <c r="H28" i="8"/>
  <c r="Q27" i="8"/>
  <c r="P48" i="8"/>
  <c r="M48" i="8"/>
  <c r="N48" i="8"/>
  <c r="O48" i="8"/>
  <c r="H27" i="8"/>
  <c r="Q7" i="8"/>
  <c r="H46" i="8"/>
  <c r="Q47" i="8"/>
  <c r="H9" i="8"/>
  <c r="H45" i="8"/>
  <c r="H7" i="8"/>
  <c r="Q8" i="8"/>
  <c r="H26" i="8"/>
  <c r="H47" i="8"/>
  <c r="H8" i="8"/>
  <c r="Q9" i="8"/>
  <c r="Q10" i="8"/>
  <c r="Q46" i="8"/>
  <c r="Q45" i="8"/>
  <c r="G45" i="3"/>
  <c r="G18" i="4" s="1"/>
  <c r="I38" i="4"/>
  <c r="O45" i="3"/>
  <c r="O46" i="3" s="1"/>
  <c r="Z7" i="4"/>
  <c r="Y13" i="4"/>
  <c r="P45" i="3"/>
  <c r="R17" i="4" s="1"/>
  <c r="O34" i="4"/>
  <c r="W7" i="4"/>
  <c r="V58" i="7"/>
  <c r="V61" i="7" s="1"/>
  <c r="T15" i="4"/>
  <c r="Y11" i="4"/>
  <c r="L38" i="4"/>
  <c r="X21" i="2"/>
  <c r="V9" i="4" s="1"/>
  <c r="H38" i="4"/>
  <c r="M38" i="4"/>
  <c r="T14" i="4"/>
  <c r="Z17" i="2"/>
  <c r="R35" i="4"/>
  <c r="Y21" i="2"/>
  <c r="W9" i="4" s="1"/>
  <c r="W13" i="4"/>
  <c r="M35" i="4"/>
  <c r="V7" i="4"/>
  <c r="G8" i="2"/>
  <c r="G9" i="2" s="1"/>
  <c r="G19" i="3"/>
  <c r="G21" i="4" s="1"/>
  <c r="S38" i="4"/>
  <c r="R38" i="4"/>
  <c r="N7" i="4"/>
  <c r="F22" i="4"/>
  <c r="F23" i="4" s="1"/>
  <c r="B128" i="4" s="1"/>
  <c r="F57" i="7"/>
  <c r="Z14" i="4"/>
  <c r="F119" i="4" s="1"/>
  <c r="O21" i="2"/>
  <c r="O24" i="2" s="1"/>
  <c r="N37" i="4" s="1"/>
  <c r="G34" i="4"/>
  <c r="X15" i="4"/>
  <c r="C16" i="2"/>
  <c r="C17" i="2" s="1"/>
  <c r="K29" i="3"/>
  <c r="T13" i="4"/>
  <c r="E16" i="2"/>
  <c r="I35" i="4"/>
  <c r="X13" i="4"/>
  <c r="G35" i="4"/>
  <c r="K16" i="2"/>
  <c r="K17" i="2" s="1"/>
  <c r="S21" i="2"/>
  <c r="Q9" i="4" s="1"/>
  <c r="M34" i="4"/>
  <c r="Q45" i="3"/>
  <c r="L39" i="4"/>
  <c r="S32" i="4"/>
  <c r="P38" i="4"/>
  <c r="P39" i="4"/>
  <c r="Z24" i="2"/>
  <c r="Y37" i="4" s="1"/>
  <c r="X9" i="4"/>
  <c r="AA24" i="2"/>
  <c r="Z37" i="4" s="1"/>
  <c r="Y9" i="4"/>
  <c r="AA17" i="2"/>
  <c r="F48" i="7"/>
  <c r="Y7" i="4"/>
  <c r="W34" i="4"/>
  <c r="F14" i="4"/>
  <c r="B119" i="4" s="1"/>
  <c r="H34" i="4"/>
  <c r="W35" i="4"/>
  <c r="B6" i="4"/>
  <c r="T24" i="2"/>
  <c r="S37" i="4" s="1"/>
  <c r="H35" i="4"/>
  <c r="B38" i="4"/>
  <c r="I34" i="4"/>
  <c r="B39" i="4"/>
  <c r="O13" i="4"/>
  <c r="J13" i="4"/>
  <c r="K34" i="4"/>
  <c r="I16" i="2"/>
  <c r="S34" i="4"/>
  <c r="R11" i="4"/>
  <c r="C9" i="2"/>
  <c r="J11" i="4"/>
  <c r="J38" i="4"/>
  <c r="E9" i="2"/>
  <c r="L34" i="4"/>
  <c r="J39" i="4"/>
  <c r="J35" i="4"/>
  <c r="K35" i="4"/>
  <c r="I9" i="2"/>
  <c r="S35" i="4"/>
  <c r="U34" i="4"/>
  <c r="W38" i="4"/>
  <c r="W32" i="4"/>
  <c r="P25" i="2"/>
  <c r="O8" i="4"/>
  <c r="Q25" i="2"/>
  <c r="AB39" i="7"/>
  <c r="AB21" i="2"/>
  <c r="AB17" i="2"/>
  <c r="E120" i="4"/>
  <c r="U9" i="4"/>
  <c r="W24" i="2"/>
  <c r="V13" i="4"/>
  <c r="O9" i="4"/>
  <c r="F9" i="2"/>
  <c r="Z13" i="4"/>
  <c r="T45" i="3"/>
  <c r="T46" i="3" s="1"/>
  <c r="D16" i="2"/>
  <c r="C32" i="4" s="1"/>
  <c r="Q35" i="4"/>
  <c r="U35" i="4"/>
  <c r="Y35" i="4"/>
  <c r="Z39" i="4"/>
  <c r="E13" i="4"/>
  <c r="F16" i="2"/>
  <c r="E32" i="4" s="1"/>
  <c r="G38" i="4"/>
  <c r="T39" i="4"/>
  <c r="D9" i="2"/>
  <c r="N9" i="4"/>
  <c r="Q29" i="3"/>
  <c r="E14" i="4"/>
  <c r="N32" i="4"/>
  <c r="R32" i="4"/>
  <c r="V32" i="4"/>
  <c r="Z32" i="4"/>
  <c r="AB9" i="2"/>
  <c r="F11" i="4"/>
  <c r="S45" i="3"/>
  <c r="S46" i="3" s="1"/>
  <c r="O58" i="7"/>
  <c r="O61" i="7" s="1"/>
  <c r="N58" i="7"/>
  <c r="N61" i="7" s="1"/>
  <c r="M58" i="7"/>
  <c r="M61" i="7" s="1"/>
  <c r="E11" i="4"/>
  <c r="X24" i="2"/>
  <c r="L8" i="2"/>
  <c r="K6" i="4" s="1"/>
  <c r="I45" i="3"/>
  <c r="C19" i="3"/>
  <c r="B21" i="4" s="1"/>
  <c r="H16" i="2"/>
  <c r="G32" i="4" s="1"/>
  <c r="F33" i="7"/>
  <c r="N34" i="4"/>
  <c r="R34" i="4"/>
  <c r="V34" i="4"/>
  <c r="Z34" i="4"/>
  <c r="N39" i="4"/>
  <c r="U38" i="4"/>
  <c r="Q32" i="4"/>
  <c r="U32" i="4"/>
  <c r="Y32" i="4"/>
  <c r="M32" i="4"/>
  <c r="Q34" i="4"/>
  <c r="Y34" i="4"/>
  <c r="G6" i="4"/>
  <c r="E17" i="4"/>
  <c r="O11" i="4"/>
  <c r="N35" i="4"/>
  <c r="V35" i="4"/>
  <c r="Z35" i="4"/>
  <c r="O37" i="4"/>
  <c r="J16" i="2"/>
  <c r="M21" i="2"/>
  <c r="B34" i="4"/>
  <c r="O38" i="4"/>
  <c r="O14" i="4"/>
  <c r="N21" i="2"/>
  <c r="O39" i="4"/>
  <c r="V38" i="4"/>
  <c r="O32" i="4"/>
  <c r="P37" i="4"/>
  <c r="V39" i="4"/>
  <c r="F26" i="7"/>
  <c r="C38" i="4"/>
  <c r="M19" i="3"/>
  <c r="N19" i="4" s="1"/>
  <c r="Y14" i="4"/>
  <c r="N17" i="2"/>
  <c r="R21" i="2"/>
  <c r="C34" i="4"/>
  <c r="C39" i="4"/>
  <c r="P14" i="4"/>
  <c r="D119" i="4" s="1"/>
  <c r="Y15" i="4"/>
  <c r="Q38" i="4"/>
  <c r="L7" i="4"/>
  <c r="L32" i="4"/>
  <c r="P32" i="4"/>
  <c r="T32" i="4"/>
  <c r="X32" i="4"/>
  <c r="D38" i="4"/>
  <c r="X38" i="4"/>
  <c r="U21" i="2"/>
  <c r="P34" i="4"/>
  <c r="J14" i="4"/>
  <c r="U11" i="4"/>
  <c r="T58" i="7"/>
  <c r="T61" i="7" s="1"/>
  <c r="T34" i="4"/>
  <c r="X34" i="4"/>
  <c r="D39" i="4"/>
  <c r="K38" i="4"/>
  <c r="X39" i="4"/>
  <c r="V45" i="3"/>
  <c r="V21" i="2"/>
  <c r="D32" i="4"/>
  <c r="T35" i="4"/>
  <c r="Q11" i="4"/>
  <c r="U14" i="4"/>
  <c r="E119" i="4" s="1"/>
  <c r="J15" i="4"/>
  <c r="C21" i="2"/>
  <c r="C24" i="2" s="1"/>
  <c r="S24" i="2"/>
  <c r="S25" i="2" s="1"/>
  <c r="D34" i="4"/>
  <c r="Y38" i="4"/>
  <c r="T11" i="4"/>
  <c r="E28" i="4"/>
  <c r="C135" i="4"/>
  <c r="F135" i="4"/>
  <c r="U58" i="7"/>
  <c r="U61" i="7" s="1"/>
  <c r="Z58" i="7"/>
  <c r="Z61" i="7" s="1"/>
  <c r="Y58" i="7"/>
  <c r="Y61" i="7" s="1"/>
  <c r="X58" i="7"/>
  <c r="X61" i="7" s="1"/>
  <c r="C58" i="7"/>
  <c r="C61" i="7" s="1"/>
  <c r="E39" i="7"/>
  <c r="D58" i="7"/>
  <c r="D61" i="7" s="1"/>
  <c r="W58" i="7"/>
  <c r="W61" i="7" s="1"/>
  <c r="B58" i="7"/>
  <c r="H58" i="7"/>
  <c r="H61" i="7" s="1"/>
  <c r="C134" i="4"/>
  <c r="D134" i="4"/>
  <c r="D135" i="4"/>
  <c r="E134" i="4"/>
  <c r="E135" i="4"/>
  <c r="F134" i="4"/>
  <c r="T25" i="2"/>
  <c r="P8" i="4"/>
  <c r="P17" i="2"/>
  <c r="Q17" i="2"/>
  <c r="R17" i="2"/>
  <c r="P7" i="4"/>
  <c r="O7" i="4"/>
  <c r="S17" i="2"/>
  <c r="T17" i="2"/>
  <c r="U17" i="2"/>
  <c r="V17" i="2"/>
  <c r="W17" i="2"/>
  <c r="S7" i="4"/>
  <c r="T28" i="4"/>
  <c r="O28" i="4"/>
  <c r="J28" i="4"/>
  <c r="Y28" i="4"/>
  <c r="F120" i="4"/>
  <c r="F118" i="4"/>
  <c r="E129" i="4"/>
  <c r="L58" i="7"/>
  <c r="L61" i="7" s="1"/>
  <c r="K58" i="7"/>
  <c r="K61" i="7" s="1"/>
  <c r="J58" i="7"/>
  <c r="J61" i="7" s="1"/>
  <c r="I58" i="7"/>
  <c r="I61" i="7" s="1"/>
  <c r="G58" i="7"/>
  <c r="G61" i="7" s="1"/>
  <c r="S58" i="7"/>
  <c r="S61" i="7" s="1"/>
  <c r="R58" i="7"/>
  <c r="R61" i="7" s="1"/>
  <c r="Q58" i="7"/>
  <c r="Q61" i="7" s="1"/>
  <c r="P58" i="7"/>
  <c r="P61" i="7" s="1"/>
  <c r="Z11" i="4"/>
  <c r="N11" i="4"/>
  <c r="M11" i="4"/>
  <c r="J29" i="3"/>
  <c r="I29" i="3"/>
  <c r="H29" i="3"/>
  <c r="D11" i="4"/>
  <c r="D29" i="3"/>
  <c r="C17" i="4" s="1"/>
  <c r="C29" i="3"/>
  <c r="X11" i="4"/>
  <c r="W11" i="4"/>
  <c r="V11" i="4"/>
  <c r="P11" i="4"/>
  <c r="N45" i="3"/>
  <c r="O19" i="3"/>
  <c r="X17" i="4"/>
  <c r="R45" i="3"/>
  <c r="U17" i="4" s="1"/>
  <c r="L45" i="3"/>
  <c r="L46" i="3" s="1"/>
  <c r="L19" i="3"/>
  <c r="E46" i="3"/>
  <c r="V19" i="3"/>
  <c r="D19" i="3"/>
  <c r="N19" i="3"/>
  <c r="O19" i="4" s="1"/>
  <c r="J45" i="3"/>
  <c r="K13" i="4"/>
  <c r="X14" i="4"/>
  <c r="W14" i="4"/>
  <c r="K45" i="3"/>
  <c r="M45" i="3"/>
  <c r="M46" i="3" s="1"/>
  <c r="U46" i="3"/>
  <c r="I15" i="4"/>
  <c r="H14" i="4"/>
  <c r="H45" i="3"/>
  <c r="G29" i="3"/>
  <c r="F17" i="4"/>
  <c r="R14" i="4"/>
  <c r="S13" i="4"/>
  <c r="L13" i="4"/>
  <c r="L14" i="4"/>
  <c r="I14" i="4"/>
  <c r="M14" i="4"/>
  <c r="N14" i="4"/>
  <c r="P13" i="4"/>
  <c r="Q13" i="4"/>
  <c r="G15" i="4"/>
  <c r="E19" i="3"/>
  <c r="K19" i="3"/>
  <c r="V14" i="4"/>
  <c r="J19" i="3"/>
  <c r="K14" i="4"/>
  <c r="C119" i="4" s="1"/>
  <c r="Q28" i="4"/>
  <c r="D14" i="4"/>
  <c r="M28" i="4"/>
  <c r="C13" i="4"/>
  <c r="Q19" i="3"/>
  <c r="C45" i="3"/>
  <c r="U19" i="3"/>
  <c r="L28" i="4"/>
  <c r="H28" i="4"/>
  <c r="F19" i="3"/>
  <c r="E19" i="4" s="1"/>
  <c r="P19" i="3"/>
  <c r="S19" i="3"/>
  <c r="G28" i="4"/>
  <c r="M13" i="4"/>
  <c r="R19" i="3"/>
  <c r="T19" i="4" s="1"/>
  <c r="T19" i="3"/>
  <c r="I28" i="4"/>
  <c r="B28" i="4"/>
  <c r="H19" i="3"/>
  <c r="P28" i="4"/>
  <c r="I19" i="3"/>
  <c r="U13" i="4"/>
  <c r="R13" i="4"/>
  <c r="N28" i="4"/>
  <c r="S15" i="4"/>
  <c r="R15" i="4"/>
  <c r="Q15" i="4"/>
  <c r="P15" i="4"/>
  <c r="S14" i="4"/>
  <c r="Q14" i="4"/>
  <c r="M15" i="4"/>
  <c r="G14" i="4"/>
  <c r="G13" i="4"/>
  <c r="C14" i="4"/>
  <c r="C15" i="4"/>
  <c r="B13" i="4"/>
  <c r="B14" i="4"/>
  <c r="N13" i="4"/>
  <c r="I13" i="4"/>
  <c r="H13" i="4"/>
  <c r="K26" i="4"/>
  <c r="K27" i="4" s="1"/>
  <c r="K9" i="2"/>
  <c r="F24" i="4"/>
  <c r="F25" i="4" s="1"/>
  <c r="W28" i="4"/>
  <c r="R28" i="4"/>
  <c r="X28" i="4"/>
  <c r="C28" i="4"/>
  <c r="D28" i="4"/>
  <c r="V28" i="4"/>
  <c r="Z28" i="4"/>
  <c r="U28" i="4"/>
  <c r="S28" i="4"/>
  <c r="Q48" i="8" l="1"/>
  <c r="Y10" i="4"/>
  <c r="Q17" i="4"/>
  <c r="F6" i="4"/>
  <c r="S17" i="4"/>
  <c r="G17" i="4"/>
  <c r="P46" i="3"/>
  <c r="B7" i="4"/>
  <c r="S8" i="4"/>
  <c r="G16" i="2"/>
  <c r="F7" i="4" s="1"/>
  <c r="R8" i="4"/>
  <c r="K21" i="2"/>
  <c r="K24" i="2" s="1"/>
  <c r="B32" i="4"/>
  <c r="K46" i="3"/>
  <c r="M9" i="4"/>
  <c r="V17" i="4"/>
  <c r="O25" i="2"/>
  <c r="N8" i="4"/>
  <c r="Q46" i="3"/>
  <c r="Q47" i="3" s="1"/>
  <c r="J32" i="4"/>
  <c r="Y24" i="2"/>
  <c r="X37" i="4" s="1"/>
  <c r="I46" i="3"/>
  <c r="I47" i="3" s="1"/>
  <c r="Y8" i="4"/>
  <c r="D21" i="4"/>
  <c r="Z25" i="2"/>
  <c r="R46" i="3"/>
  <c r="R47" i="3" s="1"/>
  <c r="D7" i="4"/>
  <c r="E17" i="2"/>
  <c r="E21" i="2"/>
  <c r="B31" i="4"/>
  <c r="F31" i="4"/>
  <c r="Z8" i="4"/>
  <c r="AA25" i="2"/>
  <c r="J7" i="4"/>
  <c r="M47" i="3"/>
  <c r="B19" i="4"/>
  <c r="S30" i="4"/>
  <c r="J19" i="4"/>
  <c r="N10" i="4"/>
  <c r="I21" i="2"/>
  <c r="I17" i="2"/>
  <c r="H7" i="4"/>
  <c r="H32" i="4"/>
  <c r="H31" i="4"/>
  <c r="Y18" i="4"/>
  <c r="Y17" i="4"/>
  <c r="M19" i="4"/>
  <c r="M31" i="4"/>
  <c r="M17" i="4"/>
  <c r="V8" i="4"/>
  <c r="W25" i="2"/>
  <c r="V30" i="4"/>
  <c r="W8" i="4"/>
  <c r="W30" i="4"/>
  <c r="W37" i="4"/>
  <c r="G17" i="2"/>
  <c r="G21" i="2"/>
  <c r="D46" i="3"/>
  <c r="D47" i="3" s="1"/>
  <c r="P30" i="4"/>
  <c r="K31" i="4"/>
  <c r="J21" i="4"/>
  <c r="J31" i="4"/>
  <c r="F115" i="4"/>
  <c r="V19" i="4"/>
  <c r="V31" i="4"/>
  <c r="L19" i="4"/>
  <c r="L31" i="4"/>
  <c r="T17" i="4"/>
  <c r="T18" i="4"/>
  <c r="V37" i="4"/>
  <c r="L16" i="2"/>
  <c r="L9" i="2"/>
  <c r="D120" i="4"/>
  <c r="R19" i="4"/>
  <c r="R31" i="4"/>
  <c r="D18" i="4"/>
  <c r="D31" i="4"/>
  <c r="W17" i="4"/>
  <c r="Y25" i="2"/>
  <c r="E7" i="4"/>
  <c r="F17" i="2"/>
  <c r="F21" i="2"/>
  <c r="Z30" i="4"/>
  <c r="B123" i="4"/>
  <c r="AB58" i="7"/>
  <c r="AB61" i="7" s="1"/>
  <c r="U18" i="4"/>
  <c r="E124" i="4" s="1"/>
  <c r="U31" i="4"/>
  <c r="T31" i="4"/>
  <c r="T21" i="4"/>
  <c r="F19" i="4"/>
  <c r="B125" i="4" s="1"/>
  <c r="E31" i="4"/>
  <c r="E21" i="4"/>
  <c r="E18" i="4"/>
  <c r="E115" i="4"/>
  <c r="P9" i="4"/>
  <c r="R24" i="2"/>
  <c r="Q19" i="4"/>
  <c r="Q31" i="4"/>
  <c r="B115" i="4"/>
  <c r="K9" i="4"/>
  <c r="M24" i="2"/>
  <c r="L10" i="4" s="1"/>
  <c r="O10" i="4"/>
  <c r="W21" i="4"/>
  <c r="W31" i="4"/>
  <c r="L9" i="4"/>
  <c r="N24" i="2"/>
  <c r="X31" i="4"/>
  <c r="S9" i="4"/>
  <c r="U24" i="2"/>
  <c r="N21" i="4"/>
  <c r="N31" i="4"/>
  <c r="I7" i="4"/>
  <c r="I32" i="4"/>
  <c r="J21" i="2"/>
  <c r="J17" i="2"/>
  <c r="O30" i="4"/>
  <c r="D118" i="4"/>
  <c r="N46" i="3"/>
  <c r="O17" i="4"/>
  <c r="O18" i="4"/>
  <c r="D115" i="4"/>
  <c r="R37" i="4"/>
  <c r="R30" i="4"/>
  <c r="N30" i="4"/>
  <c r="S10" i="4"/>
  <c r="S31" i="4"/>
  <c r="C118" i="4"/>
  <c r="P10" i="4"/>
  <c r="P31" i="4"/>
  <c r="O21" i="4"/>
  <c r="O31" i="4"/>
  <c r="AB24" i="2"/>
  <c r="AB23" i="2"/>
  <c r="C21" i="4"/>
  <c r="C31" i="4"/>
  <c r="F39" i="7"/>
  <c r="F32" i="4"/>
  <c r="D21" i="2"/>
  <c r="D17" i="2"/>
  <c r="C7" i="4"/>
  <c r="J17" i="4"/>
  <c r="J18" i="4"/>
  <c r="F131" i="4"/>
  <c r="C25" i="2"/>
  <c r="B8" i="4"/>
  <c r="B30" i="4"/>
  <c r="E131" i="4"/>
  <c r="I31" i="4"/>
  <c r="D131" i="4"/>
  <c r="Y31" i="4"/>
  <c r="Y21" i="4"/>
  <c r="Y19" i="4"/>
  <c r="Z31" i="4"/>
  <c r="X25" i="2"/>
  <c r="E39" i="4"/>
  <c r="E38" i="4"/>
  <c r="E34" i="4"/>
  <c r="E35" i="4"/>
  <c r="E47" i="3"/>
  <c r="G7" i="4"/>
  <c r="H17" i="2"/>
  <c r="H21" i="2"/>
  <c r="Z17" i="4"/>
  <c r="Y30" i="4"/>
  <c r="B10" i="4"/>
  <c r="V46" i="3"/>
  <c r="V47" i="3" s="1"/>
  <c r="T9" i="4"/>
  <c r="V24" i="2"/>
  <c r="U10" i="4" s="1"/>
  <c r="G31" i="4"/>
  <c r="B37" i="4"/>
  <c r="E123" i="4"/>
  <c r="E118" i="4"/>
  <c r="B61" i="7"/>
  <c r="E58" i="7"/>
  <c r="E61" i="7" s="1"/>
  <c r="B135" i="4"/>
  <c r="B134" i="4"/>
  <c r="F28" i="4"/>
  <c r="B129" i="4"/>
  <c r="K28" i="4"/>
  <c r="C130" i="4"/>
  <c r="J46" i="3"/>
  <c r="J47" i="3" s="1"/>
  <c r="H19" i="4"/>
  <c r="I17" i="4"/>
  <c r="H46" i="3"/>
  <c r="H47" i="3" s="1"/>
  <c r="G46" i="3"/>
  <c r="G47" i="3" s="1"/>
  <c r="C46" i="3"/>
  <c r="C47" i="3" s="1"/>
  <c r="G19" i="4"/>
  <c r="Q21" i="4"/>
  <c r="N17" i="4"/>
  <c r="Q18" i="4"/>
  <c r="O47" i="3"/>
  <c r="D19" i="4"/>
  <c r="P17" i="4"/>
  <c r="N18" i="4"/>
  <c r="B17" i="4"/>
  <c r="B18" i="4"/>
  <c r="P19" i="4"/>
  <c r="D125" i="4" s="1"/>
  <c r="K19" i="4"/>
  <c r="C125" i="4" s="1"/>
  <c r="K21" i="4"/>
  <c r="Z21" i="4"/>
  <c r="Z18" i="4"/>
  <c r="F124" i="4" s="1"/>
  <c r="M21" i="4"/>
  <c r="L47" i="3"/>
  <c r="M18" i="4"/>
  <c r="K47" i="3"/>
  <c r="S21" i="4"/>
  <c r="P21" i="4"/>
  <c r="L18" i="4"/>
  <c r="L21" i="4"/>
  <c r="P18" i="4"/>
  <c r="D124" i="4" s="1"/>
  <c r="C18" i="4"/>
  <c r="C19" i="4"/>
  <c r="K17" i="4"/>
  <c r="Z10" i="4"/>
  <c r="N47" i="3"/>
  <c r="Z19" i="4"/>
  <c r="F125" i="4" s="1"/>
  <c r="X18" i="4"/>
  <c r="L17" i="4"/>
  <c r="S18" i="4"/>
  <c r="K18" i="4"/>
  <c r="C124" i="4" s="1"/>
  <c r="H17" i="4"/>
  <c r="F21" i="4"/>
  <c r="H18" i="4"/>
  <c r="R21" i="4"/>
  <c r="R18" i="4"/>
  <c r="R10" i="4"/>
  <c r="P47" i="3"/>
  <c r="F18" i="4"/>
  <c r="B124" i="4" s="1"/>
  <c r="F47" i="3"/>
  <c r="W10" i="4"/>
  <c r="V18" i="4"/>
  <c r="S47" i="3"/>
  <c r="V21" i="4"/>
  <c r="V10" i="4"/>
  <c r="I19" i="4"/>
  <c r="I18" i="4"/>
  <c r="I21" i="4"/>
  <c r="U21" i="4"/>
  <c r="X19" i="4"/>
  <c r="X21" i="4"/>
  <c r="U47" i="3"/>
  <c r="S19" i="4"/>
  <c r="H21" i="4"/>
  <c r="W19" i="4"/>
  <c r="W18" i="4"/>
  <c r="T47" i="3"/>
  <c r="U19" i="4"/>
  <c r="E125" i="4" s="1"/>
  <c r="I9" i="4" l="1"/>
  <c r="X8" i="4"/>
  <c r="X30" i="4"/>
  <c r="X10" i="4"/>
  <c r="E24" i="2"/>
  <c r="C9" i="4"/>
  <c r="F58" i="7"/>
  <c r="G9" i="4"/>
  <c r="I24" i="2"/>
  <c r="J10" i="4"/>
  <c r="K25" i="2"/>
  <c r="J37" i="4"/>
  <c r="J8" i="4"/>
  <c r="J30" i="4"/>
  <c r="L8" i="4"/>
  <c r="M25" i="2"/>
  <c r="L30" i="4"/>
  <c r="L37" i="4"/>
  <c r="AB25" i="2"/>
  <c r="D114" i="4"/>
  <c r="F61" i="7"/>
  <c r="E9" i="4"/>
  <c r="G24" i="2"/>
  <c r="N25" i="2"/>
  <c r="M30" i="4"/>
  <c r="M8" i="4"/>
  <c r="M37" i="4"/>
  <c r="J24" i="2"/>
  <c r="H9" i="4"/>
  <c r="Q30" i="4"/>
  <c r="R25" i="2"/>
  <c r="Q10" i="4"/>
  <c r="Q37" i="4"/>
  <c r="Q8" i="4"/>
  <c r="K32" i="4"/>
  <c r="L17" i="2"/>
  <c r="L21" i="2"/>
  <c r="K7" i="4"/>
  <c r="U8" i="4"/>
  <c r="U30" i="4"/>
  <c r="V25" i="2"/>
  <c r="U37" i="4"/>
  <c r="B9" i="4"/>
  <c r="D24" i="2"/>
  <c r="M10" i="4"/>
  <c r="T10" i="4"/>
  <c r="T30" i="4"/>
  <c r="U25" i="2"/>
  <c r="T8" i="4"/>
  <c r="T37" i="4"/>
  <c r="D9" i="4"/>
  <c r="F24" i="2"/>
  <c r="F35" i="4"/>
  <c r="F38" i="4"/>
  <c r="F34" i="4"/>
  <c r="F39" i="4"/>
  <c r="F123" i="4"/>
  <c r="H24" i="2"/>
  <c r="F9" i="4"/>
  <c r="B114" i="4"/>
  <c r="C131" i="4"/>
  <c r="E114" i="4"/>
  <c r="D123" i="4"/>
  <c r="F114" i="4"/>
  <c r="C123" i="4"/>
  <c r="B131" i="4"/>
  <c r="D8" i="4" l="1"/>
  <c r="E25" i="2"/>
  <c r="D37" i="4"/>
  <c r="D10" i="4"/>
  <c r="D30" i="4"/>
  <c r="H37" i="4"/>
  <c r="H10" i="4"/>
  <c r="H8" i="4"/>
  <c r="H30" i="4"/>
  <c r="I25" i="2"/>
  <c r="F8" i="4"/>
  <c r="G25" i="2"/>
  <c r="F30" i="4"/>
  <c r="F10" i="4"/>
  <c r="G8" i="4"/>
  <c r="H25" i="2"/>
  <c r="G30" i="4"/>
  <c r="G37" i="4"/>
  <c r="G10" i="4"/>
  <c r="L24" i="2"/>
  <c r="J9" i="4"/>
  <c r="C8" i="4"/>
  <c r="C30" i="4"/>
  <c r="D25" i="2"/>
  <c r="C37" i="4"/>
  <c r="C10" i="4"/>
  <c r="F37" i="4"/>
  <c r="E8" i="4"/>
  <c r="F25" i="2"/>
  <c r="E30" i="4"/>
  <c r="E10" i="4"/>
  <c r="E37" i="4"/>
  <c r="I30" i="4"/>
  <c r="J25" i="2"/>
  <c r="I37" i="4"/>
  <c r="I8" i="4"/>
  <c r="I10" i="4"/>
  <c r="K37" i="4" l="1"/>
  <c r="K30" i="4"/>
  <c r="K8" i="4"/>
  <c r="L25" i="2"/>
  <c r="K10" i="4"/>
  <c r="C1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Dawod</author>
  </authors>
  <commentList>
    <comment ref="B7" authorId="0" shapeId="0" xr:uid="{2A2FB090-E862-4B49-BDA0-37FDDBEBDBA3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1.5x – 2.0x
أقل من 1x: ضغط على السيولة
أعلى من 3x: أصول متداولة غير مستغلة</t>
        </r>
      </text>
    </comment>
    <comment ref="K7" authorId="0" shapeId="0" xr:uid="{15D465E8-056A-44A7-BD09-91B42F9BDDB8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في التصنيع 25%–40% جيد
اتجاه تنازلي = ضغط على الهوامش</t>
        </r>
      </text>
    </comment>
    <comment ref="B8" authorId="0" shapeId="0" xr:uid="{765A25E4-8D2F-43B3-8E3F-859B7CC47A7C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≥ 1.0x
أقل من 1x: اعتماد على بيع المخزون</t>
        </r>
      </text>
    </comment>
    <comment ref="K8" authorId="0" shapeId="0" xr:uid="{BBCEAA36-A790-4D34-8DA5-71AA5EB2864A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≥ 10%
سالب: عمليات خاسرة</t>
        </r>
      </text>
    </comment>
    <comment ref="B9" authorId="0" shapeId="0" xr:uid="{FFA76A5F-122B-4E3D-B536-3087096661D1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0.2x – 0.5x
أقل من 0.2x: ضعف في الكاش
أعلى من 1x: كاش معطل</t>
        </r>
      </text>
    </comment>
    <comment ref="K9" authorId="0" shapeId="0" xr:uid="{09A8F988-8C6D-4656-BA37-4AE9D1C4CCA4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≥ 5%
سالب: خسارة صافية</t>
        </r>
      </text>
    </comment>
    <comment ref="K10" authorId="0" shapeId="0" xr:uid="{6D24F907-DA53-427E-BA2F-5830A9C50ED8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≥ 5%
منخفض = أصول غير منتجة</t>
        </r>
      </text>
    </comment>
    <comment ref="K11" authorId="0" shapeId="0" xr:uid="{9EEDE50A-16DA-4C67-86C4-3CB54C1A1A54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≥ 12%–15%
أعلى من ROA كثيراً = اعتماد على الدين</t>
        </r>
      </text>
    </comment>
    <comment ref="B26" authorId="0" shapeId="0" xr:uid="{B15FD94A-19CC-4584-822A-B946746744B3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Lower is better.
معتدل: 0.5x – 1.5x
أعلى من 2x: مخاطر عالية</t>
        </r>
      </text>
    </comment>
    <comment ref="K26" authorId="0" shapeId="0" xr:uid="{41F29ED3-4EF2-4E93-899D-F2BA92320D4C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≥ 10%
سالب: عمليات تستنزف الكاش</t>
        </r>
      </text>
    </comment>
    <comment ref="B27" authorId="0" shapeId="0" xr:uid="{066B6220-298D-4982-BC0D-9F65CB8DEDE2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Lower is better.
صحي: ≤ 50%
أعلى من 60%: عبء ديون مرتفع</t>
        </r>
      </text>
    </comment>
    <comment ref="K27" authorId="0" shapeId="0" xr:uid="{A8307DB8-E505-4926-B348-5CAFDD74451E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≥ 1.0x
أقل من 1x: حاجة لتمويل خارجي</t>
        </r>
      </text>
    </comment>
    <comment ref="B28" authorId="0" shapeId="0" xr:uid="{8FCBC47D-7F63-4C0A-9970-912FCDC0DCFB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صحي: ≥ 40%
أعلى = استقلال مالي أقوى</t>
        </r>
      </text>
    </comment>
    <comment ref="K28" authorId="0" shapeId="0" xr:uid="{E514CF80-FD93-4953-BA39-90ED57AF9CD1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موجب = قدرة على سداد ديون/توزيعات
سالب = استنزاف للسيولة</t>
        </r>
      </text>
    </comment>
    <comment ref="B45" authorId="0" shapeId="0" xr:uid="{5520231E-893B-4F87-B55E-D421BFE8FEA0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قريب من 1x هو الأفضل.
≥ 1x: أرباح مدعومة بكاش
أقل من 1x: أرباح ورقية</t>
        </r>
      </text>
    </comment>
    <comment ref="K45" authorId="0" shapeId="0" xr:uid="{DC082B83-9EB4-4C2B-B175-6E8BA1D10EB3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Higher is better.
الكاش من العمليات الأساسية
موجب ومتنامي = صحة قوية</t>
        </r>
      </text>
    </comment>
    <comment ref="B46" authorId="0" shapeId="0" xr:uid="{C5E59CB6-C9A0-488A-AA4F-7E1185D744E7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Lower is better.
≤ 5%: جودة أرباح عالية
&gt; 10%: تحذير</t>
        </r>
      </text>
    </comment>
    <comment ref="K46" authorId="0" shapeId="0" xr:uid="{328D1B92-0D00-4F02-B1E5-223BBE80D2C6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سالب طبيعي (استثمار في الأصول).
موجب طويلاً = بيع أصول</t>
        </r>
      </text>
    </comment>
    <comment ref="B47" authorId="0" shapeId="0" xr:uid="{689B2387-D595-4BF8-A872-13B1E2084074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Lower is better.
≤ 5%: جودة أرباح ممتازة
&gt; 15%: مخاطرة عالية</t>
        </r>
      </text>
    </comment>
    <comment ref="K47" authorId="0" shapeId="0" xr:uid="{B5F93C5A-D4D2-43B3-865D-11F0CE400BAB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موجب = اقتراض
سالب = سداد ديون/توزيعات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Dawod</author>
  </authors>
  <commentList>
    <comment ref="AB6" authorId="0" shapeId="0" xr:uid="{CF9F8415-059F-40B9-BEEF-08C77D2F44E5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Lecico Egypt FY-2020 Consolidated Financial Statements, Audited — Statement of Profit or Loss</t>
        </r>
      </text>
    </comment>
    <comment ref="AB7" authorId="0" shapeId="0" xr:uid="{CDF28E0F-FF48-44AB-B251-B5071CF03169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Cost of sales</t>
        </r>
      </text>
    </comment>
    <comment ref="AB11" authorId="0" shapeId="0" xr:uid="{EA64858D-A051-4438-BB02-2BBE4C9891ED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Other Income</t>
        </r>
      </text>
    </comment>
    <comment ref="AB12" authorId="0" shapeId="0" xr:uid="{F66F77EB-D9BF-4BE9-AF45-018089EBE723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Distribution Expenses</t>
        </r>
      </text>
    </comment>
    <comment ref="AB13" authorId="0" shapeId="0" xr:uid="{ED60257B-FDF9-483C-AAA1-900D71317369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Administrative Expenses</t>
        </r>
      </text>
    </comment>
    <comment ref="AB14" authorId="0" shapeId="0" xr:uid="{618D7DA0-A2B6-4DC4-BD8B-F314ECAE782C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ECL not separately disclosed in FY-2020 audited FS</t>
        </r>
      </text>
    </comment>
    <comment ref="AB15" authorId="0" shapeId="0" xr:uid="{DD0E935C-6E35-4AEC-AEB0-DD5E489262F2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Other Expenses</t>
        </r>
      </text>
    </comment>
    <comment ref="AB19" authorId="0" shapeId="0" xr:uid="{A99C5549-951F-4502-A56A-2F3CFBAF6D4A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Share in associates was zero in FY-2020 per audited FS (4,834,320 in 2019)</t>
        </r>
      </text>
    </comment>
    <comment ref="AB20" authorId="0" shapeId="0" xr:uid="{94D21244-F743-4DD8-AFC8-E7704E193F96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Net Finance = Finance income 29,894,001 + Finance expenses (95,394,880) per FY-2020 audited FS</t>
        </r>
      </text>
    </comment>
    <comment ref="AB22" authorId="0" shapeId="0" xr:uid="{8FBAB0B7-6A99-4823-A138-4064D3C1438E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Income tax (32,344,693) + Deferred income tax 7,895,167 per FY-2020 audited FS</t>
        </r>
      </text>
    </comment>
    <comment ref="AB27" authorId="0" shapeId="0" xr:uid="{A65DF9DD-99CD-455F-BDD8-C81F674708D0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Attributable to Holding company's shareholders</t>
        </r>
      </text>
    </comment>
    <comment ref="AB28" authorId="0" shapeId="0" xr:uid="{7A10EFCB-450E-4A20-9D8B-FEDA331DAB15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Attributable to Non-controlling interests</t>
        </r>
      </text>
    </comment>
    <comment ref="AB29" authorId="0" shapeId="0" xr:uid="{6FB5405F-F87E-4E4E-A9F3-C425F79D981E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Loss per share (LE/Share)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Dawod</author>
  </authors>
  <commentList>
    <comment ref="AB5" authorId="0" shapeId="0" xr:uid="{3773F8C6-2E84-49C0-BD9C-686A0C1B91DE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Net loss for the year before tax and non-controlling interest</t>
        </r>
      </text>
    </comment>
    <comment ref="AB7" authorId="0" shapeId="0" xr:uid="{B007E804-8BAC-40BB-B3AC-3012F2B12A10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PPE depreciation (Note 12)</t>
        </r>
      </text>
    </comment>
    <comment ref="AB8" authorId="0" shapeId="0" xr:uid="{4167749B-DEB4-4052-9356-9EDB630D470B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Intangible assets amortization</t>
        </r>
      </text>
    </comment>
    <comment ref="AB9" authorId="0" shapeId="0" xr:uid="{5654AA45-A585-4692-BE52-503248196A8C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Formed provisions (Note 27)</t>
        </r>
      </text>
    </comment>
    <comment ref="AB11" authorId="0" shapeId="0" xr:uid="{6C2E77A4-6C28-4163-AB2B-BCC5F54D3559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Employees share in profit</t>
        </r>
      </text>
    </comment>
    <comment ref="AB16" authorId="0" shapeId="0" xr:uid="{B32BA345-29CD-44CB-8C4F-B5DA9B5FE499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Capital gains</t>
        </r>
      </text>
    </comment>
    <comment ref="AB18" authorId="0" shapeId="0" xr:uid="{B18D9A7C-A2A4-4C48-B5DB-5B9C1A8D5AE1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Impairment of intangible assets (Note 7)</t>
        </r>
      </text>
    </comment>
    <comment ref="AB22" authorId="0" shapeId="0" xr:uid="{5F12D91D-B0DA-4347-97D4-5BF5D766F0B1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Differences from PV of long-term notes receivables</t>
        </r>
      </text>
    </comment>
    <comment ref="AB25" authorId="0" shapeId="0" xr:uid="{4F834679-7ECF-4563-81C8-F1263580ED8C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Change in translation reserve</t>
        </r>
      </text>
    </comment>
    <comment ref="AB26" authorId="0" shapeId="0" xr:uid="{15C7E1C4-C8B9-480D-ADCB-C36F4D2B76FF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Includes Income tax expense 32,344,693, Deferred income tax (8,107,168), Losses from sale of other investments 1,142,269, and Reversal of inventory write-off (25,044) per FY-2020 audited FS</t>
        </r>
      </text>
    </comment>
    <comment ref="AB28" authorId="0" shapeId="0" xr:uid="{95F6671D-6317-4321-8BB1-D7386AD9E2B0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Change in inventories</t>
        </r>
      </text>
    </comment>
    <comment ref="AB29" authorId="0" shapeId="0" xr:uid="{90C5BF5D-4408-4076-861B-BB7445E0957E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Change in trade receivables and other debtors</t>
        </r>
      </text>
    </comment>
    <comment ref="AB30" authorId="0" shapeId="0" xr:uid="{7053C833-20DC-4AEE-A842-DC541E1572C9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Change in trade payables and other creditors</t>
        </r>
      </text>
    </comment>
    <comment ref="AB37" authorId="0" shapeId="0" xr:uid="{EBE8B0CB-6686-440A-8CB3-7A19BC9AB684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Paid income tax</t>
        </r>
      </text>
    </comment>
    <comment ref="AB38" authorId="0" shapeId="0" xr:uid="{E5EC6DCF-DAEF-40ED-86D3-60D59AA9F2F7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Utilized provisions</t>
        </r>
      </text>
    </comment>
    <comment ref="AB39" authorId="0" shapeId="0" xr:uid="{E4409533-65F7-43BE-A683-B88F673A109D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Per FY-2020 Audited FS: Net cash resulted from operating activities = 352,654,254</t>
        </r>
      </text>
    </comment>
    <comment ref="AB41" authorId="0" shapeId="0" xr:uid="{E14987F3-6DB3-46C8-A717-F7AA93F15749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Payments for acquisition of PPE</t>
        </r>
      </text>
    </comment>
    <comment ref="AB42" authorId="0" shapeId="0" xr:uid="{001D7D21-D796-4D41-A603-817F997DC00D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Proceeds from selling PPE</t>
        </r>
      </text>
    </comment>
    <comment ref="AB43" authorId="0" shapeId="0" xr:uid="{46B1C766-28CC-4213-9951-25A6507ECF0B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Payments for acquisition of intangible assets</t>
        </r>
      </text>
    </comment>
    <comment ref="AB46" authorId="0" shapeId="0" xr:uid="{C8681C5A-72AF-44F3-A154-5F00B3F095F3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Proceeds from sale of other investments</t>
        </r>
      </text>
    </comment>
    <comment ref="AB47" authorId="0" shapeId="0" xr:uid="{53B6C10C-2164-4275-9257-BE57BF7D24AA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Decrease in long-term notes receivable</t>
        </r>
      </text>
    </comment>
    <comment ref="AB50" authorId="0" shapeId="0" xr:uid="{EC99749D-C424-4B3E-BE1E-6475D053C398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(Payments) from long-term loans</t>
        </r>
      </text>
    </comment>
    <comment ref="AB51" authorId="0" shapeId="0" xr:uid="{91691860-3C2A-405E-B454-A90AED912EE3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Payments of lease contracts liabilities</t>
        </r>
      </text>
    </comment>
    <comment ref="AB54" authorId="0" shapeId="0" xr:uid="{8F45DBAA-8E1E-405F-85FA-101B680672FE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Dividends paid to employees (classified as financing)</t>
        </r>
      </text>
    </comment>
    <comment ref="AB55" authorId="0" shapeId="0" xr:uid="{6DFF922E-33FC-46C9-9DEB-053F4AA677E6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Change in non-controlling interest</t>
        </r>
      </text>
    </comment>
    <comment ref="AB59" authorId="0" shapeId="0" xr:uid="{E1A77200-0EAF-473F-AB06-BE375D2EF378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FY-2020 Audited FS — Cash and cash equivalent at beginning of year (Note 19)</t>
        </r>
      </text>
    </comment>
    <comment ref="AB61" authorId="0" shapeId="0" xr:uid="{B4900BDF-4364-4ABF-967F-A07AA31E823F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Per FY-2020 Audited FS: Cash &amp; cash equivalent at end of year = (597,732,765)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Dawod</author>
  </authors>
  <commentList>
    <comment ref="AB6" authorId="0" shapeId="0" xr:uid="{B769B1CA-B802-4295-9E95-991A79320FF2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Gross Margin = GP / Revenue</t>
        </r>
      </text>
    </comment>
    <comment ref="AB7" authorId="0" shapeId="0" xr:uid="{823A9065-F65D-4B54-B6D2-A4DF630D197C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EBIT Margin = EBIT / Revenue</t>
        </r>
      </text>
    </comment>
    <comment ref="AB8" authorId="0" shapeId="0" xr:uid="{EDD26BCF-3562-4214-81E2-F5AB1796ECC2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Net Profit Margin = NI / Revenue</t>
        </r>
      </text>
    </comment>
    <comment ref="AB9" authorId="0" shapeId="0" xr:uid="{51F5C0EA-5888-45DA-8AFA-20FF5401DCF4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Effective Tax Rate = Tax / PBT</t>
        </r>
      </text>
    </comment>
    <comment ref="AB10" authorId="0" shapeId="0" xr:uid="{7D7A1D8F-E7ED-4C30-839E-4718DBC661B1}">
      <text>
        <r>
          <rPr>
            <b/>
            <sz val="9"/>
            <color indexed="81"/>
            <rFont val="Tahoma"/>
            <charset val="178"/>
          </rPr>
          <t>ROA requires Balance Sheet (Total Assets). FY-2020 Statement of Financial Position page was missing from the audited FS PDF.</t>
        </r>
      </text>
    </comment>
    <comment ref="AB11" authorId="0" shapeId="0" xr:uid="{9856353F-DFFD-472B-A122-D7B7D1ABC39E}">
      <text>
        <r>
          <rPr>
            <b/>
            <sz val="9"/>
            <color indexed="81"/>
            <rFont val="Tahoma"/>
            <charset val="178"/>
          </rPr>
          <t>ROE requires Balance Sheet (Total Equity). FY-2020 Statement of Financial Position page was missing from the audited FS PDF.</t>
        </r>
      </text>
    </comment>
    <comment ref="AB13" authorId="0" shapeId="0" xr:uid="{E0EB22A5-462D-4573-BF79-E25D150F8A09}">
      <text>
        <r>
          <rPr>
            <b/>
            <sz val="9"/>
            <color indexed="81"/>
            <rFont val="Tahoma"/>
            <charset val="178"/>
          </rPr>
          <t>Current Ratio requires Balance Sheet.</t>
        </r>
      </text>
    </comment>
    <comment ref="AB14" authorId="0" shapeId="0" xr:uid="{24EA45A3-6685-4910-8847-A51A221A8E01}">
      <text>
        <r>
          <rPr>
            <b/>
            <sz val="9"/>
            <color indexed="81"/>
            <rFont val="Tahoma"/>
            <charset val="178"/>
          </rPr>
          <t>Quick Ratio requires Balance Sheet.</t>
        </r>
      </text>
    </comment>
    <comment ref="AB15" authorId="0" shapeId="0" xr:uid="{88A0F136-7858-44B1-85FB-8710E59E0906}">
      <text>
        <r>
          <rPr>
            <b/>
            <sz val="9"/>
            <color indexed="81"/>
            <rFont val="Tahoma"/>
            <charset val="178"/>
          </rPr>
          <t>Cash Ratio requires Balance Sheet.</t>
        </r>
      </text>
    </comment>
    <comment ref="AB17" authorId="0" shapeId="0" xr:uid="{A860C333-BE24-4A3C-B318-49EF60D80517}">
      <text>
        <r>
          <rPr>
            <b/>
            <sz val="9"/>
            <color indexed="81"/>
            <rFont val="Tahoma"/>
            <charset val="178"/>
          </rPr>
          <t>Debt-to-Equity requires Balance Sheet.</t>
        </r>
      </text>
    </comment>
    <comment ref="AB18" authorId="0" shapeId="0" xr:uid="{BF996BD5-3790-4B3A-8BAD-F8B13EB21B35}">
      <text>
        <r>
          <rPr>
            <b/>
            <sz val="9"/>
            <color indexed="81"/>
            <rFont val="Tahoma"/>
            <charset val="178"/>
          </rPr>
          <t>Debt-to-Assets requires Balance Sheet.</t>
        </r>
      </text>
    </comment>
    <comment ref="AB19" authorId="0" shapeId="0" xr:uid="{6ADC03F8-FEB6-417E-8528-165AFF909854}">
      <text>
        <r>
          <rPr>
            <b/>
            <sz val="9"/>
            <color indexed="81"/>
            <rFont val="Tahoma"/>
            <charset val="178"/>
          </rPr>
          <t>Equity Ratio requires Balance Sheet.</t>
        </r>
      </text>
    </comment>
    <comment ref="AB21" authorId="0" shapeId="0" xr:uid="{A8EB2911-4721-4C2F-9490-A5BC2E396262}">
      <text>
        <r>
          <rPr>
            <b/>
            <sz val="9"/>
            <color indexed="81"/>
            <rFont val="Tahoma"/>
            <charset val="178"/>
          </rPr>
          <t>Asset Turnover requires Balance Sheet.</t>
        </r>
      </text>
    </comment>
    <comment ref="AB22" authorId="0" shapeId="0" xr:uid="{7D2295A8-C23E-4FDA-A0D4-AAF4070469BB}">
      <text>
        <r>
          <rPr>
            <b/>
            <sz val="9"/>
            <color indexed="81"/>
            <rFont val="Tahoma"/>
            <charset val="178"/>
          </rPr>
          <t>Inventory Turnover requires Balance Sheet.</t>
        </r>
      </text>
    </comment>
    <comment ref="AB23" authorId="0" shapeId="0" xr:uid="{A036579D-E950-4932-A734-3D1B1EBA9345}">
      <text>
        <r>
          <rPr>
            <b/>
            <sz val="9"/>
            <color indexed="81"/>
            <rFont val="Tahoma"/>
            <charset val="178"/>
          </rPr>
          <t>DIO requires Inventory.</t>
        </r>
      </text>
    </comment>
    <comment ref="AB24" authorId="0" shapeId="0" xr:uid="{9B7EB3ED-A50E-4FAE-9D40-EBF5396A5823}">
      <text>
        <r>
          <rPr>
            <b/>
            <sz val="9"/>
            <color indexed="81"/>
            <rFont val="Tahoma"/>
            <charset val="178"/>
          </rPr>
          <t>Receivables Turnover requires Balance Sheet.</t>
        </r>
      </text>
    </comment>
    <comment ref="AB25" authorId="0" shapeId="0" xr:uid="{524FBD46-11FF-45EF-9DCD-54583C52597C}">
      <text>
        <r>
          <rPr>
            <b/>
            <sz val="9"/>
            <color indexed="81"/>
            <rFont val="Tahoma"/>
            <charset val="178"/>
          </rPr>
          <t>DSO requires Receivables.</t>
        </r>
      </text>
    </comment>
    <comment ref="AB26" authorId="0" shapeId="0" xr:uid="{7483B565-3666-460B-9B8F-4886C4B4895F}">
      <text>
        <r>
          <rPr>
            <b/>
            <sz val="9"/>
            <color indexed="81"/>
            <rFont val="Tahoma"/>
            <charset val="178"/>
          </rPr>
          <t>Payables Turnover requires Balance Sheet.</t>
        </r>
      </text>
    </comment>
    <comment ref="AB27" authorId="0" shapeId="0" xr:uid="{54B32E09-7B7D-41C3-B8EC-5BBCFDB0206D}">
      <text>
        <r>
          <rPr>
            <b/>
            <sz val="9"/>
            <color indexed="81"/>
            <rFont val="Tahoma"/>
            <charset val="178"/>
          </rPr>
          <t>DPO requires Payables.</t>
        </r>
      </text>
    </comment>
    <comment ref="AB28" authorId="0" shapeId="0" xr:uid="{8817730D-A7F1-4ACE-A53E-C5724B683414}">
      <text>
        <r>
          <rPr>
            <b/>
            <sz val="9"/>
            <color indexed="81"/>
            <rFont val="Tahoma"/>
            <charset val="178"/>
          </rPr>
          <t>CCC requires DIO/DSO/DPO.</t>
        </r>
      </text>
    </comment>
    <comment ref="B30" authorId="0" shapeId="0" xr:uid="{FF4676B7-566E-40AC-BC4C-B094E1F5BBE4}">
      <text>
        <r>
          <rPr>
            <b/>
            <sz val="9"/>
            <color indexed="81"/>
            <rFont val="Tahoma"/>
            <family val="2"/>
          </rPr>
          <t>Q1-2021 accruals — prior balance from FY-2020 Audited FS (see helper rows 63-71). Cell B63 contains FY-2020 Total Assets.</t>
        </r>
      </text>
    </comment>
    <comment ref="F30" authorId="0" shapeId="0" xr:uid="{C0FE7615-B2CB-443A-BB81-A3CD18DCAF88}">
      <text>
        <r>
          <rPr>
            <b/>
            <sz val="9"/>
            <color indexed="81"/>
            <rFont val="Tahoma"/>
            <family val="2"/>
          </rPr>
          <t>FY-2021 accruals — prior Total Assets from FY-2020 Audited FS (B63).</t>
        </r>
      </text>
    </comment>
    <comment ref="AB30" authorId="0" shapeId="0" xr:uid="{7A939ABF-D674-45CF-B5DC-E0CDCD0F538B}">
      <text>
        <r>
          <rPr>
            <b/>
            <sz val="9"/>
            <color indexed="81"/>
            <rFont val="Tahoma"/>
            <charset val="178"/>
          </rPr>
          <t>Accruals ratio requires prior-period Balance Sheet.</t>
        </r>
      </text>
    </comment>
    <comment ref="B31" authorId="0" shapeId="0" xr:uid="{E3D43271-BCC7-47E3-A83E-4D86C80F3216}">
      <text>
        <r>
          <rPr>
            <b/>
            <sz val="9"/>
            <color indexed="81"/>
            <rFont val="Tahoma"/>
            <family val="2"/>
          </rPr>
          <t>Q1-2021 BS accruals — prior NOA from FY-2020 Audited FS (B71).</t>
        </r>
      </text>
    </comment>
    <comment ref="F31" authorId="0" shapeId="0" xr:uid="{14590EAB-E328-4ADB-B2C3-0DE967ECB266}">
      <text>
        <r>
          <rPr>
            <b/>
            <sz val="9"/>
            <color indexed="81"/>
            <rFont val="Tahoma"/>
            <family val="2"/>
          </rPr>
          <t>FY-2021 BS accruals — prior NOA from FY-2020 Audited FS (B71).</t>
        </r>
      </text>
    </comment>
    <comment ref="AB31" authorId="0" shapeId="0" xr:uid="{C7B6D00F-D128-4634-B5DE-0E6FA6559E70}">
      <text>
        <r>
          <rPr>
            <b/>
            <sz val="9"/>
            <color indexed="81"/>
            <rFont val="Tahoma"/>
            <charset val="178"/>
          </rPr>
          <t>BS accruals requires prior-period NOA.</t>
        </r>
      </text>
    </comment>
    <comment ref="AB32" authorId="0" shapeId="0" xr:uid="{84D625FD-8AFE-4A61-AA9A-7DA891B3DBBC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OCF before interest &amp; tax / EBIT</t>
        </r>
      </text>
    </comment>
    <comment ref="AB34" authorId="0" shapeId="0" xr:uid="{6266EC65-5783-460F-B77B-00B6D1CB9E63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FCFE = OCF + CapEx + LT loan payments + Dividends</t>
        </r>
      </text>
    </comment>
    <comment ref="AB35" authorId="0" shapeId="0" xr:uid="{968BAD55-89A7-4DF3-9ECD-8B91AB16644B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FCF = OCF + CapEx</t>
        </r>
      </text>
    </comment>
    <comment ref="AB37" authorId="0" shapeId="0" xr:uid="{72BEF9EF-D460-4D03-B2B2-1C2BD370B088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Cash Realization = OCF / Net Income</t>
        </r>
      </text>
    </comment>
    <comment ref="AB38" authorId="0" shapeId="0" xr:uid="{7D2A01E9-2D59-469E-8ED4-2A522E63663B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Operating Cash Margin = OCF / Revenue</t>
        </r>
      </text>
    </comment>
    <comment ref="AB39" authorId="0" shapeId="0" xr:uid="{4D433D2F-A4D6-40E7-A1E6-DE3A66357510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CapEx Coverage = OCF / |CapEx|</t>
        </r>
      </text>
    </comment>
    <comment ref="B66" authorId="0" shapeId="0" xr:uid="{C2BA9454-3227-435B-B7CD-3784C0396F24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Source: Lecico Egypt FY-2020 Consolidated Financial Statements, Audited (Note 4 Segmental Information)</t>
        </r>
      </text>
    </comment>
    <comment ref="B67" authorId="0" shapeId="0" xr:uid="{D8109A3E-AB68-44A1-9061-4DAFE9D151A0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Source: Lecico Egypt FY-2020 Audited FS, Note 19 (gross cash before bank overdrafts)</t>
        </r>
      </text>
    </comment>
    <comment ref="B68" authorId="0" shapeId="0" xr:uid="{EC00071D-8940-4D6D-88BB-2C1BE7B053C7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Source: Lecico Egypt FY-2020 Audited FS, Note 4 Segmental Information</t>
        </r>
      </text>
    </comment>
    <comment ref="B69" authorId="0" shapeId="0" xr:uid="{A0777A07-B28E-4F12-A9E9-6237DDF8D91E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Source: FY-2020 Audited FS, Note 24</t>
        </r>
      </text>
    </comment>
    <comment ref="B70" authorId="0" shapeId="0" xr:uid="{7EF06583-21F3-4549-82B5-324FB8F28000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Source: FY-2020 Audited FS, Note 25</t>
        </r>
      </text>
    </comment>
    <comment ref="B71" authorId="0" shapeId="0" xr:uid="{18AC3CB8-33A4-4DE3-8E2A-575F3119AF88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Not present in FY-2020 BS (line item starts Q2-2021)</t>
        </r>
      </text>
    </comment>
    <comment ref="B72" authorId="0" shapeId="0" xr:uid="{822B4BDE-EF72-472F-810E-9EBC16F0D94B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Source: FY-2020 Audited FS, Note 19/20</t>
        </r>
      </text>
    </comment>
    <comment ref="B73" authorId="0" shapeId="0" xr:uid="{4E560B89-620F-481B-8444-5EB70529D457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Source: FY-2020 Audited FS, Note 28</t>
        </r>
      </text>
    </comment>
    <comment ref="B74" authorId="0" shapeId="0" xr:uid="{E1C6906A-E8EA-4F30-B78D-8463A9C6CC2A}">
      <text>
        <r>
          <rPr>
            <b/>
            <sz val="9"/>
            <color indexed="81"/>
            <rFont val="Tahoma"/>
            <family val="2"/>
          </rPr>
          <t>Ahmed Dawod:</t>
        </r>
        <r>
          <rPr>
            <sz val="9"/>
            <color indexed="81"/>
            <rFont val="Tahoma"/>
            <family val="2"/>
          </rPr>
          <t xml:space="preserve">
Net Operating Assets = (Total Assets - Cash) - (Total Liab - LT Loans - Lease NC - LT Notes - Banks OD - Loans Current)</t>
        </r>
      </text>
    </comment>
  </commentList>
</comments>
</file>

<file path=xl/sharedStrings.xml><?xml version="1.0" encoding="utf-8"?>
<sst xmlns="http://schemas.openxmlformats.org/spreadsheetml/2006/main" count="460" uniqueCount="288">
  <si>
    <t>Item</t>
  </si>
  <si>
    <t>FY-2021</t>
  </si>
  <si>
    <t>FY-2022</t>
  </si>
  <si>
    <t>FY-2023</t>
  </si>
  <si>
    <t>FY-2024</t>
  </si>
  <si>
    <t>FY-2025</t>
  </si>
  <si>
    <t>2021</t>
  </si>
  <si>
    <t>2022</t>
  </si>
  <si>
    <t>2023</t>
  </si>
  <si>
    <t>2024</t>
  </si>
  <si>
    <t>2025</t>
  </si>
  <si>
    <t>Gross Margin</t>
  </si>
  <si>
    <t>LECICO EGYPT — Consolidated Income Statement | All Quarters 2021–2025 (EGP)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</si>
  <si>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</si>
  <si>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</si>
  <si>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</si>
  <si>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</si>
  <si>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</si>
  <si>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</si>
  <si>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</si>
  <si>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</si>
  <si>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</si>
  <si>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</si>
  <si>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</si>
  <si>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</si>
  <si>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</si>
  <si>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</si>
  <si>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</si>
  <si>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</si>
  <si>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</si>
  <si>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</si>
  <si>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</si>
  <si>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</si>
  <si>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REVENUE</t>
  </si>
  <si>
    <t>Net Revenue / Sales</t>
  </si>
  <si>
    <t>Cost of Sales</t>
  </si>
  <si>
    <t>GROSS PROFIT</t>
  </si>
  <si>
    <t>Gross Margin %</t>
  </si>
  <si>
    <t>OPERATING EXPENSES</t>
  </si>
  <si>
    <t>Other Income</t>
  </si>
  <si>
    <t>Distribution &amp; Selling Expenses</t>
  </si>
  <si>
    <t>General &amp; Administrative Expenses</t>
  </si>
  <si>
    <t>Expected Credit Loss (ECL)</t>
  </si>
  <si>
    <t>Other Expenses</t>
  </si>
  <si>
    <t>EBIT (Operating Profit)</t>
  </si>
  <si>
    <t>EBIT Margin %</t>
  </si>
  <si>
    <t>BELOW THE LINE</t>
  </si>
  <si>
    <t>Share of Associates / Equity-Accounted Investees</t>
  </si>
  <si>
    <t>Net Finance Income / (Expenses)</t>
  </si>
  <si>
    <t>PROFIT BEFORE TAX (PBT)</t>
  </si>
  <si>
    <t>Income Tax Expense</t>
  </si>
  <si>
    <t>Effective Tax Rate %</t>
  </si>
  <si>
    <t>NET PROFIT FOR THE PERIOD</t>
  </si>
  <si>
    <t>Net Margin %</t>
  </si>
  <si>
    <t>ATTRIBUTION</t>
  </si>
  <si>
    <t>Attributable to Shareholders of Holding Company</t>
  </si>
  <si>
    <t>Attributable to Non-Controlling Interests (NCI)</t>
  </si>
  <si>
    <t>Basic &amp; Diluted EPS (EGP per Share)</t>
  </si>
  <si>
    <t>-</t>
  </si>
  <si>
    <t>LECICO EGYPT — Consolidated Balance Sheet | End of Period 2021–2025 (EGP)</t>
  </si>
  <si>
    <t>ASSETS</t>
  </si>
  <si>
    <t>NON-CURRENT ASSETS</t>
  </si>
  <si>
    <t>Property, Plant &amp; Equipment (PPE)</t>
  </si>
  <si>
    <t>Projects Under Construction (PUC)</t>
  </si>
  <si>
    <t>Intangible Assets</t>
  </si>
  <si>
    <t>Equity-Accounted Investees / Associates</t>
  </si>
  <si>
    <t>Long-Term Notes Receivable</t>
  </si>
  <si>
    <t>TOTAL NON-CURRENT ASSETS</t>
  </si>
  <si>
    <t>CURRENT ASSETS</t>
  </si>
  <si>
    <t>Inventories</t>
  </si>
  <si>
    <t>Trade &amp; Other Receivables</t>
  </si>
  <si>
    <t>Cash &amp; Cash Equivalents</t>
  </si>
  <si>
    <t>TOTAL CURRENT ASSETS</t>
  </si>
  <si>
    <t>TOTAL ASSETS</t>
  </si>
  <si>
    <t>EQUITY &amp; LIABILITIES</t>
  </si>
  <si>
    <t>EQUITY</t>
  </si>
  <si>
    <t>Issued &amp; Paid-Up Capital</t>
  </si>
  <si>
    <t>Treasury Shares</t>
  </si>
  <si>
    <t>Reserves</t>
  </si>
  <si>
    <t>Retained Earnings / (Accumulated Losses)</t>
  </si>
  <si>
    <t>Equity Attributable to Holding Company</t>
  </si>
  <si>
    <t>Non-Controlling Interests (NCI)</t>
  </si>
  <si>
    <t>TOTAL EQUITY</t>
  </si>
  <si>
    <t>NON-CURRENT LIABILITIES</t>
  </si>
  <si>
    <t>Long-Term Loans</t>
  </si>
  <si>
    <t>Non-Current Portion of Lease Liabilities</t>
  </si>
  <si>
    <t>Long-Term Notes Payable</t>
  </si>
  <si>
    <t>Provisions — Non-Current</t>
  </si>
  <si>
    <t>Deferred Tax Liabilities</t>
  </si>
  <si>
    <t>TOTAL NON-CURRENT LIABILITIES</t>
  </si>
  <si>
    <t>CURRENT LIABILITIES</t>
  </si>
  <si>
    <t>Banks Credit Facilities / Overdraft</t>
  </si>
  <si>
    <t>Accrued Income Tax</t>
  </si>
  <si>
    <t>Loans — Current Portion</t>
  </si>
  <si>
    <t>Trade &amp; Other Payables</t>
  </si>
  <si>
    <t>Provisions — Current</t>
  </si>
  <si>
    <t>TOTAL CURRENT LIABILITIES</t>
  </si>
  <si>
    <t>TOTAL LIABILITIES</t>
  </si>
  <si>
    <t>TOTAL EQUITY &amp; LIABILITIES</t>
  </si>
  <si>
    <t>LECICO EGYPT — Financial Ratio Analysis | All Quarters 2021–2025</t>
  </si>
  <si>
    <t>I. PROFITABILITY RATIOS</t>
  </si>
  <si>
    <t>EBIT Margin</t>
  </si>
  <si>
    <t>Net Profit Margin</t>
  </si>
  <si>
    <t>Effective Tax Rate</t>
  </si>
  <si>
    <t>Return on Assets (ROA)</t>
  </si>
  <si>
    <t>Return on Equity (ROE)</t>
  </si>
  <si>
    <t>II. LIQUIDITY RATIOS</t>
  </si>
  <si>
    <t>Current Ratio</t>
  </si>
  <si>
    <t>Quick Ratio</t>
  </si>
  <si>
    <t>Cash Ratio</t>
  </si>
  <si>
    <t>III. LEVERAGE RATIOS</t>
  </si>
  <si>
    <t>Debt-to-Equity</t>
  </si>
  <si>
    <t>Debt-to-Assets</t>
  </si>
  <si>
    <t>Equity Ratio</t>
  </si>
  <si>
    <t>IV. EFFICIENCY RATIOS</t>
  </si>
  <si>
    <t>Asset Turnover</t>
  </si>
  <si>
    <t>Inventory Turnover</t>
  </si>
  <si>
    <t>Days Inventory Outstanding (DIO)</t>
  </si>
  <si>
    <t>Receivables Turnover</t>
  </si>
  <si>
    <t>Days Sales Outstanding (DSO)</t>
  </si>
  <si>
    <t>Payables Turnover</t>
  </si>
  <si>
    <t>Days Payable Outstanding (DPO)</t>
  </si>
  <si>
    <t>Cash Conversion Cycle</t>
  </si>
  <si>
    <t>V. Accurals Ratios</t>
  </si>
  <si>
    <t>Cash-flow-based accruals ratio</t>
  </si>
  <si>
    <t>Balance-sheet-based accruals ratio</t>
  </si>
  <si>
    <t>ratio of operating cash flow before interest and taxes to operating income</t>
  </si>
  <si>
    <t xml:space="preserve">Short Term Liability </t>
  </si>
  <si>
    <t>Investment in Fair Value through P/L</t>
  </si>
  <si>
    <t>Net P/L for the period/year</t>
  </si>
  <si>
    <t>LECICO EGYPT — Consolidated Cash Flow | All Quarters 2021–2025 (EGP)</t>
  </si>
  <si>
    <t>Q1</t>
  </si>
  <si>
    <t>Q2</t>
  </si>
  <si>
    <t>Q3</t>
  </si>
  <si>
    <t>Q4</t>
  </si>
  <si>
    <t>FY</t>
  </si>
  <si>
    <t>Cash Flow from Operating Activities</t>
  </si>
  <si>
    <t>Net profit/(loss) for the period before tax</t>
  </si>
  <si>
    <t>Adjustments for non-cash items:</t>
  </si>
  <si>
    <t>Property, plant &amp; equipment depreciation</t>
  </si>
  <si>
    <t>Intangible assets amortization</t>
  </si>
  <si>
    <t>Formed provisions</t>
  </si>
  <si>
    <t>Provisions reversed / no longer used</t>
  </si>
  <si>
    <t>Employees' share in profit</t>
  </si>
  <si>
    <t>Finance interest expenses on lease contracts</t>
  </si>
  <si>
    <t>Finance expenses</t>
  </si>
  <si>
    <t>Interest income</t>
  </si>
  <si>
    <t>Losses / (gains) on hedge contracts</t>
  </si>
  <si>
    <t>Capital gain / (loss)</t>
  </si>
  <si>
    <t>Net income from investment fair value through P&amp;L</t>
  </si>
  <si>
    <t>Impairment of intangible assets</t>
  </si>
  <si>
    <t>Impairment loss of trade and other receivables</t>
  </si>
  <si>
    <t>Impairment in equity-accounted investees</t>
  </si>
  <si>
    <t>Reversal of inventory write-off</t>
  </si>
  <si>
    <t>Differences from PV of long-term notes receivable</t>
  </si>
  <si>
    <t>Differences from PV of long-term notes payable</t>
  </si>
  <si>
    <t>Foreign currency translation differences</t>
  </si>
  <si>
    <t>Change in translation reserve and FX differences</t>
  </si>
  <si>
    <t>Profit generated from operations</t>
  </si>
  <si>
    <t>Working capital changes:</t>
  </si>
  <si>
    <t>Change in inventories</t>
  </si>
  <si>
    <t>Change in trade, notes and other receivables</t>
  </si>
  <si>
    <t>Change in trade, notes and other payables</t>
  </si>
  <si>
    <t>Change in provisions / Utilized provisions</t>
  </si>
  <si>
    <t>Payments of employees dividend</t>
  </si>
  <si>
    <t>Cash generated from operations before interest &amp; tax</t>
  </si>
  <si>
    <t>Proceeds from interest income</t>
  </si>
  <si>
    <t>Interest / Finance expenses paid</t>
  </si>
  <si>
    <t>Finance interest paid on lease contracts</t>
  </si>
  <si>
    <t>Income tax paid</t>
  </si>
  <si>
    <t>Utilized provisions</t>
  </si>
  <si>
    <t>Net cash from / (used in) operating activities</t>
  </si>
  <si>
    <t>Cash Flow from Investing Activities</t>
  </si>
  <si>
    <t>Payments for acquisition of PPE &amp; PUC</t>
  </si>
  <si>
    <t>Proceeds from sale of PPE</t>
  </si>
  <si>
    <t>Payments for acquisition of intangible assets</t>
  </si>
  <si>
    <t>Payments for acquisition of financial securities</t>
  </si>
  <si>
    <t>Proceeds from financial securities</t>
  </si>
  <si>
    <t>Proceeds from sale of other investments</t>
  </si>
  <si>
    <t>Change in long-term notes receivable</t>
  </si>
  <si>
    <t>Net cash from / (used in) investing activities</t>
  </si>
  <si>
    <t>Cash Flow from Financing Activities</t>
  </si>
  <si>
    <t>Payments of long-term loans</t>
  </si>
  <si>
    <t>Payments of lease liabilities</t>
  </si>
  <si>
    <t>Payments of finance cost on lease contract</t>
  </si>
  <si>
    <t>Payments for acquisition of treasury shares</t>
  </si>
  <si>
    <t>Net proceeds from / (paid to) banks credit facilities</t>
  </si>
  <si>
    <t>Proceeds from restricted time deposits</t>
  </si>
  <si>
    <t>Payments / proceeds from hedge contracts</t>
  </si>
  <si>
    <t>Net cash from / (used in) financing activities</t>
  </si>
  <si>
    <t>Net change in cash and cash equivalents</t>
  </si>
  <si>
    <t>Cash and cash equivalents at the beginning of the period</t>
  </si>
  <si>
    <t>Change in restricted time deposits</t>
  </si>
  <si>
    <t>Cash and cash equivalents at the end of the period</t>
  </si>
  <si>
    <t>FCFE</t>
  </si>
  <si>
    <t>FCF</t>
  </si>
  <si>
    <t>VI. FREE CASH FLOW</t>
  </si>
  <si>
    <t>Metric</t>
  </si>
  <si>
    <t>VII. CASH QUALITY RATIOS</t>
  </si>
  <si>
    <t>Cash Realization (OCF / Net Income)</t>
  </si>
  <si>
    <t>Operating Cash Margin (OCF / Revenue)</t>
  </si>
  <si>
    <t>CapEx Coverage (OCF / |CapEx|)</t>
  </si>
  <si>
    <t>ROE</t>
  </si>
  <si>
    <t>── FY-2020 Opening Balances (from FY-2020 Audited FS) ──</t>
  </si>
  <si>
    <t>Total Assets (FY-2020)</t>
  </si>
  <si>
    <t>Cash &amp; Equivalents (FY-2020)</t>
  </si>
  <si>
    <t>Total Liabilities (FY-2020)</t>
  </si>
  <si>
    <t>LT Loans non-current (FY-2020)</t>
  </si>
  <si>
    <t>Lease NC liab (FY-2020)</t>
  </si>
  <si>
    <t>LT Notes Payable (FY-2020)</t>
  </si>
  <si>
    <t>Bank Overdrafts (FY-2020)</t>
  </si>
  <si>
    <t>Loans Current Portion (FY-2020)</t>
  </si>
  <si>
    <t>NOA (FY-2020) — calculated</t>
  </si>
  <si>
    <t>Note 2020</t>
  </si>
  <si>
    <t>Free Cash Flow (EGP M)</t>
  </si>
  <si>
    <t>FY-2020</t>
  </si>
  <si>
    <t>OCF Margin</t>
  </si>
  <si>
    <t>FCF (EGP M)</t>
  </si>
  <si>
    <t>Year</t>
  </si>
  <si>
    <t>LECICO EGYPT — Financial Ratios Dashboard</t>
  </si>
  <si>
    <t>4.  CASH FLOW RATIOS</t>
  </si>
  <si>
    <t>5.  EARNINGS QUALITY</t>
  </si>
  <si>
    <t>6.  CASH FLOW BREAKDOWN  —  الكاش بيروح فين؟</t>
  </si>
  <si>
    <t>Net Change in Cash</t>
  </si>
  <si>
    <t>1.  LIQUIDITY</t>
  </si>
  <si>
    <t>FY-21</t>
  </si>
  <si>
    <t>FY-22</t>
  </si>
  <si>
    <t>FY-23</t>
  </si>
  <si>
    <t>FY-24</t>
  </si>
  <si>
    <t>FY-25</t>
  </si>
  <si>
    <t>2.  PROFITABILITY</t>
  </si>
  <si>
    <t>3.  SOLVENCY / LEVERAGE</t>
  </si>
  <si>
    <t>CapEx Coverage</t>
  </si>
  <si>
    <t>Cash Realization (OCF/NI)</t>
  </si>
  <si>
    <t>CF Accruals Ratio</t>
  </si>
  <si>
    <t>BS Accruals Ratio</t>
  </si>
  <si>
    <t>Component (EGP M)</t>
  </si>
  <si>
    <t>Operating (OCF)</t>
  </si>
  <si>
    <t>Investing (ICF)</t>
  </si>
  <si>
    <t>Financing (FCF)</t>
  </si>
  <si>
    <t>EXECUTIVE SNAPSHOT  —  FY-2025 في لمحة</t>
  </si>
  <si>
    <t>REVENUE GROWTH</t>
  </si>
  <si>
    <t>FY-25 vs FY-24</t>
  </si>
  <si>
    <t>NET MARGIN</t>
  </si>
  <si>
    <t>DEBT / EQUITY</t>
  </si>
  <si>
    <t>CURRENT RATIO</t>
  </si>
  <si>
    <t>KEY INSIGHTS  —  FY-2025</t>
  </si>
  <si>
    <t>•  Revenue grew +17.4%, but Net Margin collapsed from 13.8% to 3.3% — severe cost pressure squeezing profitability.</t>
  </si>
  <si>
    <t>•  FCF flipped from +252M to -663M — operations are burning cash (OCF -196M) on top of heavy CapEx.</t>
  </si>
  <si>
    <t>•  D/E rose from 1.01x to 1.08x — the company drew +624M in financing to cover the operating &amp; investing gap.</t>
  </si>
  <si>
    <t>•  Current Ratio dropped from 1.49x to 1.36x — still above 1x, but Cash Ratio at 0.09x signals very tight liquidity.</t>
  </si>
  <si>
    <t>Δ YoY</t>
  </si>
  <si>
    <t>EVENTS LOG  —  Lecico Egypt</t>
  </si>
  <si>
    <t>Track macro events, company decisions, and one-time items that explain each year's performance.</t>
  </si>
  <si>
    <t>Quarter / Date</t>
  </si>
  <si>
    <t>Category</t>
  </si>
  <si>
    <t>Event Description</t>
  </si>
  <si>
    <t>Impact / Analyst Notes</t>
  </si>
  <si>
    <t>Affected Metrics</t>
  </si>
  <si>
    <t>Severity</t>
  </si>
  <si>
    <t>Full Year</t>
  </si>
  <si>
    <t>Recovery</t>
  </si>
  <si>
    <t>Post-COVID demand recovery; construction sector reopening.</t>
  </si>
  <si>
    <t>Revenue rebounded but margins still thin due to commodity price volatility.</t>
  </si>
  <si>
    <t>Revenue, Gross Margin</t>
  </si>
  <si>
    <t>Low</t>
  </si>
  <si>
    <t>FX / Macro</t>
  </si>
  <si>
    <t>EGP devaluation #1 — official rate moved from ~15.7 to ~18.5 EGP/USD.</t>
  </si>
  <si>
    <t>Imported raw materials &amp; energy costs surged; pricing lagged behind costs.</t>
  </si>
  <si>
    <t>EBIT Margin, Net Margin, FX losses</t>
  </si>
  <si>
    <t>High</t>
  </si>
  <si>
    <t>EGP devaluation #2 — ~18.5 to ~24.5 EGP/USD.</t>
  </si>
  <si>
    <t>EBIT Margin turned negative for the year; significant FX-related losses.</t>
  </si>
  <si>
    <t>EBIT Margin (-1.0%), Net Margin</t>
  </si>
  <si>
    <t>Pricing / Mix</t>
  </si>
  <si>
    <t>Price hikes passed through; export mix expanded to offset weak EGP.</t>
  </si>
  <si>
    <t>Gross Margin jumped from 18.3% to 33.7%; EBIT Margin recovered to 19.4%.</t>
  </si>
  <si>
    <t>Gross Margin (+15ppt), EBIT, ROE (+20ppt)</t>
  </si>
  <si>
    <t>Positive</t>
  </si>
  <si>
    <t>EGP devaluation #3 + IMF deal — EGP moved to ~50 vs USD; rates hiked sharply.</t>
  </si>
  <si>
    <t>Despite FX shock, pricing power held; FCF turned positive (+252M).</t>
  </si>
  <si>
    <t>FCF (+), OCF Margin (+8%), Cash Realization</t>
  </si>
  <si>
    <t>Mixed</t>
  </si>
  <si>
    <t>Cost Pressure</t>
  </si>
  <si>
    <t>[TBD] Investigate margin collapse — energy costs? wage inflation? lower export prices?</t>
  </si>
  <si>
    <t>Net Margin fell 13.8%→3.3%; FCF -663M; OCF turned negative — needs deep dive.</t>
  </si>
  <si>
    <t>Net Margin (-10.5ppt), FCF, ROE (-17.7ppt)</t>
  </si>
  <si>
    <t>Annual Ratios FY 2021 – FY 2025  •  Δ YoY column shows change vs. prior year (green = improvement, red = deterioration)  •  See "Events Log" tab for context behind each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</si>
</sst>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(#,##0\);\-"/>
    <numFmt numFmtId="165" formatCode="0.0%"/>
    <numFmt numFmtId="166" formatCode="0.0%;\(0.0%\);\-"/>
    <numFmt numFmtId="167" formatCode="0.00&quot;x&quot;"/>
    <numFmt numFmtId="168" formatCode="0&quot; days&quot;"/>
    <numFmt numFmtId="169" formatCode="#,##0;[Red]\(#,##0\);\-"/>
    <numFmt numFmtId="170" formatCode="0.00%;\(0.00%\);\-"/>
    <numFmt numFmtId="171" formatCode="#,##0,,&quot;M&quot;"/>
    <numFmt numFmtId="172" formatCode="0.00&quot;x&quot;;\(0.00&quot;x&quot;\);\-"/>
    <numFmt numFmtId="173" formatCode="\+0.00&quot;x&quot;;\-0.00&quot;x&quot;;\-"/>
    <numFmt numFmtId="174" formatCode="\+0.0%;\-0.0%;\-"/>
    <numFmt numFmtId="175" formatCode="#,##0;\(#,##0\)"/>
    <numFmt numFmtId="176" formatCode="\+#,##0;\-#,##0;\-"/>
  </numFmts>
  <fonts count="7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C0392B"/>
      <name val="Arial"/>
      <family val="2"/>
    </font>
    <font>
      <sz val="10"/>
      <color rgb="FF595959"/>
      <name val="Arial"/>
      <family val="2"/>
    </font>
    <font>
      <sz val="10"/>
      <color rgb="FFC0392B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sz val="10"/>
      <color rgb="FF1E7E34"/>
      <name val="Arial"/>
      <family val="2"/>
    </font>
    <font>
      <b/>
      <sz val="11"/>
      <color rgb="FFFFFFFF"/>
      <name val="Calibri"/>
      <family val="2"/>
      <charset val="1"/>
    </font>
    <font>
      <b/>
      <sz val="13"/>
      <color rgb="FFFFFFFF"/>
      <name val="Calibri"/>
      <family val="2"/>
    </font>
    <font>
      <b/>
      <sz val="11"/>
      <color rgb="FF1E293B"/>
      <name val="Arial"/>
      <family val="2"/>
    </font>
    <font>
      <b/>
      <sz val="10"/>
      <color rgb="FF1E293B"/>
      <name val="Arial"/>
      <family val="2"/>
    </font>
    <font>
      <b/>
      <sz val="10"/>
      <color rgb="FF0F172A"/>
      <name val="Arial"/>
      <family val="2"/>
    </font>
    <font>
      <b/>
      <sz val="10"/>
      <color rgb="FF0F172A"/>
      <name val="Calibri"/>
      <family val="2"/>
    </font>
    <font>
      <sz val="10"/>
      <color rgb="FF0F172A"/>
      <name val="Calibri"/>
      <family val="2"/>
    </font>
    <font>
      <b/>
      <sz val="13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i/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1E293B"/>
      <name val="Arial"/>
    </font>
    <font>
      <sz val="10"/>
      <color rgb="FF0F172A"/>
      <name val="Calibri"/>
    </font>
    <font>
      <b/>
      <sz val="10"/>
      <color rgb="FF0F172A"/>
      <name val="Calibri"/>
    </font>
    <font>
      <sz val="11"/>
      <color rgb="FFFFFFFF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rgb="FF1E7E34"/>
      <name val="Arial"/>
      <family val="2"/>
    </font>
    <font>
      <b/>
      <sz val="11"/>
      <color rgb="FFFFFFFF"/>
      <name val="Calibri"/>
      <family val="2"/>
    </font>
    <font>
      <sz val="9"/>
      <color rgb="FF334155"/>
      <name val="Calibri"/>
      <family val="2"/>
    </font>
    <font>
      <b/>
      <sz val="9"/>
      <color rgb="FF1E293B"/>
      <name val="Calibri"/>
      <family val="2"/>
    </font>
    <font>
      <b/>
      <sz val="11"/>
      <color theme="1"/>
      <name val="Calibri"/>
      <family val="2"/>
      <charset val="1"/>
    </font>
    <font>
      <i/>
      <sz val="9"/>
      <color rgb="FF94A3B8"/>
      <name val="Calibri"/>
      <family val="2"/>
    </font>
    <font>
      <b/>
      <sz val="12"/>
      <color rgb="FFFFFFFF"/>
      <name val="Calibri"/>
      <family val="2"/>
    </font>
    <font>
      <sz val="10"/>
      <color theme="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FF"/>
      <name val="Calibri"/>
      <family val="2"/>
      <charset val="1"/>
    </font>
    <font>
      <b/>
      <sz val="14"/>
      <color theme="1"/>
      <name val="Calibri"/>
      <family val="2"/>
    </font>
    <font>
      <sz val="9"/>
      <color indexed="81"/>
      <name val="Tahoma"/>
      <charset val="178"/>
    </font>
    <font>
      <b/>
      <sz val="9"/>
      <color indexed="81"/>
      <name val="Tahoma"/>
      <charset val="178"/>
    </font>
    <font>
      <b/>
      <sz val="14"/>
      <color rgb="FFFFFFFF"/>
      <name val="Calibri"/>
    </font>
    <font>
      <i/>
      <sz val="11"/>
      <color theme="1"/>
      <name val="Calibri"/>
      <family val="2"/>
      <charset val="1"/>
    </font>
    <font>
      <b/>
      <sz val="20"/>
      <color rgb="FFFFFFFF"/>
      <name val="Calibri"/>
    </font>
    <font>
      <b/>
      <sz val="13"/>
      <color rgb="FFFFFFFF"/>
      <name val="Calibri"/>
    </font>
    <font>
      <b/>
      <sz val="10"/>
      <color rgb="FF1976D2"/>
      <name val="Calibri"/>
      <family val="2"/>
      <charset val="1"/>
    </font>
    <font>
      <b/>
      <sz val="10"/>
      <color rgb="FF388E3C"/>
      <name val="Calibri"/>
      <family val="2"/>
      <charset val="1"/>
    </font>
    <font>
      <b/>
      <sz val="10"/>
      <color rgb="FFE67E22"/>
      <name val="Calibri"/>
      <family val="2"/>
      <charset val="1"/>
    </font>
    <font>
      <b/>
      <sz val="10"/>
      <color rgb="FF00897B"/>
      <name val="Calibri"/>
      <family val="2"/>
      <charset val="1"/>
    </font>
    <font>
      <b/>
      <sz val="10"/>
      <color rgb="FF7B1FA2"/>
      <name val="Calibri"/>
      <family val="2"/>
      <charset val="1"/>
    </font>
    <font>
      <b/>
      <sz val="10"/>
      <color rgb="FF546E7A"/>
      <name val="Calibri"/>
      <family val="2"/>
      <charset val="1"/>
    </font>
    <font>
      <sz val="10"/>
      <color rgb="FF37474F"/>
      <name val="Calibri"/>
      <family val="2"/>
      <charset val="1"/>
    </font>
    <font>
      <b/>
      <sz val="10"/>
      <color rgb="FF37474F"/>
      <name val="Calibri"/>
      <family val="2"/>
      <charset val="1"/>
    </font>
    <font>
      <b/>
      <sz val="11"/>
      <color rgb="FF37474F"/>
      <name val="Calibri"/>
      <family val="2"/>
      <charset val="1"/>
    </font>
    <font>
      <b/>
      <sz val="18"/>
      <color rgb="FF0D47A1"/>
      <name val="Calibri"/>
      <family val="2"/>
      <charset val="1"/>
    </font>
    <font>
      <i/>
      <sz val="8"/>
      <color rgb="FF1565C0"/>
      <name val="Calibri"/>
      <family val="2"/>
      <charset val="1"/>
    </font>
    <font>
      <b/>
      <sz val="18"/>
      <color rgb="FF1B5E20"/>
      <name val="Calibri"/>
      <family val="2"/>
      <charset val="1"/>
    </font>
    <font>
      <sz val="11"/>
      <color rgb="FF2E7D32"/>
      <name val="Calibri"/>
      <family val="2"/>
      <charset val="1"/>
    </font>
    <font>
      <i/>
      <sz val="8"/>
      <color rgb="FF2E7D32"/>
      <name val="Calibri"/>
      <family val="2"/>
      <charset val="1"/>
    </font>
    <font>
      <i/>
      <sz val="8"/>
      <color rgb="FFBF360C"/>
      <name val="Calibri"/>
      <family val="2"/>
      <charset val="1"/>
    </font>
    <font>
      <b/>
      <sz val="18"/>
      <color rgb="FF004D40"/>
      <name val="Calibri"/>
      <family val="2"/>
      <charset val="1"/>
    </font>
    <font>
      <i/>
      <sz val="8"/>
      <color rgb="FF00695C"/>
      <name val="Calibri"/>
      <family val="2"/>
      <charset val="1"/>
    </font>
    <font>
      <b/>
      <sz val="18"/>
      <color rgb="FF4A148C"/>
      <name val="Calibri"/>
      <family val="2"/>
      <charset val="1"/>
    </font>
    <font>
      <i/>
      <sz val="8"/>
      <color rgb="FF6A1B9A"/>
      <name val="Calibri"/>
      <family val="2"/>
      <charset val="1"/>
    </font>
    <font>
      <b/>
      <sz val="12"/>
      <color rgb="FF1F3864"/>
      <name val="Calibri"/>
      <family val="2"/>
      <charset val="1"/>
    </font>
    <font>
      <b/>
      <sz val="16"/>
      <color rgb="FFBF360C"/>
      <name val="Calibri"/>
      <family val="2"/>
      <charset val="1"/>
    </font>
    <font>
      <i/>
      <sz val="11"/>
      <color rgb="FF1F3864"/>
      <name val="Calibri"/>
      <family val="2"/>
      <charset val="1"/>
    </font>
    <font>
      <b/>
      <sz val="11"/>
      <color rgb="FF1976D2"/>
      <name val="Calibri"/>
      <family val="2"/>
      <charset val="1"/>
    </font>
    <font>
      <b/>
      <sz val="11"/>
      <color rgb="FF1B5E20"/>
      <name val="Calibri"/>
      <family val="2"/>
      <charset val="1"/>
    </font>
    <font>
      <sz val="11"/>
      <color rgb="FFC62828"/>
      <name val="Calibri"/>
      <family val="2"/>
      <charset val="1"/>
    </font>
    <font>
      <b/>
      <sz val="11"/>
      <color rgb="FF8B0000"/>
      <name val="Calibri"/>
      <family val="2"/>
      <charset val="1"/>
    </font>
    <font>
      <sz val="11"/>
      <color rgb="FF7B5E00"/>
      <name val="Calibri"/>
      <family val="2"/>
      <charset val="1"/>
    </font>
    <font>
      <b/>
      <sz val="11"/>
      <color rgb="FF7B5E00"/>
      <name val="Calibri"/>
      <family val="2"/>
      <charset val="1"/>
    </font>
    <font>
      <i/>
      <sz val="11"/>
      <color rgb="FF999999"/>
      <name val="Calibri"/>
      <family val="2"/>
      <charset val="1"/>
    </font>
    <font>
      <i/>
      <sz val="10"/>
      <color rgb="FF1F3864"/>
      <name val="Calibri"/>
    </font>
    <font>
      <b/>
      <sz val="12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EBF3FB"/>
        <bgColor rgb="FFF2F2F2"/>
      </patternFill>
    </fill>
    <fill>
      <patternFill patternType="solid">
        <fgColor rgb="FFD6E4F7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FF3CD"/>
        <bgColor rgb="FFF2F2F2"/>
      </patternFill>
    </fill>
    <fill>
      <patternFill patternType="solid">
        <fgColor rgb="FFFFFFFF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DE6F1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1F386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8" tint="0.59999389629810485"/>
        <bgColor rgb="FFD9D9D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8FCF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DF1E5"/>
        <bgColor indexed="64"/>
      </patternFill>
    </fill>
    <fill>
      <patternFill patternType="solid">
        <fgColor rgb="FFFEF8F2"/>
        <bgColor indexed="64"/>
      </patternFill>
    </fill>
    <fill>
      <patternFill patternType="solid">
        <fgColor rgb="FF00897B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2FAF9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AF5FB"/>
        <bgColor indexed="64"/>
      </patternFill>
    </fill>
    <fill>
      <patternFill patternType="solid">
        <fgColor rgb="FF546E7A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A8D5BA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4B6B6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FFE0A1"/>
        <bgColor indexed="64"/>
      </patternFill>
    </fill>
  </fills>
  <borders count="9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/>
      <top style="medium">
        <color rgb="FF1F3864"/>
      </top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CBD5E1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/>
      <top style="thin">
        <color rgb="FFCBD5E1"/>
      </top>
      <bottom style="thin">
        <color rgb="FFE5E7EB"/>
      </bottom>
      <diagonal/>
    </border>
    <border>
      <left/>
      <right/>
      <top style="thin">
        <color rgb="FFCBD5E1"/>
      </top>
      <bottom style="thin">
        <color rgb="FFE5E7EB"/>
      </bottom>
      <diagonal/>
    </border>
    <border>
      <left/>
      <right style="thin">
        <color rgb="FFCBD5E1"/>
      </right>
      <top style="thin">
        <color rgb="FFCBD5E1"/>
      </top>
      <bottom style="thin">
        <color rgb="FFE5E7EB"/>
      </bottom>
      <diagonal/>
    </border>
    <border>
      <left style="thin">
        <color rgb="FFCBD5E1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 style="thin">
        <color rgb="FFCBD5E1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CBD5E1"/>
      </right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/>
      <top style="thin">
        <color rgb="FFE5E7EB"/>
      </top>
      <bottom style="thin">
        <color rgb="FFCBD5E1"/>
      </bottom>
      <diagonal/>
    </border>
    <border>
      <left style="thin">
        <color auto="1"/>
      </left>
      <right style="thin">
        <color rgb="FFE2E8F0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BDEFB"/>
      </left>
      <right style="thin">
        <color rgb="FFBBDEFB"/>
      </right>
      <top style="thin">
        <color rgb="FFBBDEFB"/>
      </top>
      <bottom style="thin">
        <color rgb="FFBBDEFB"/>
      </bottom>
      <diagonal/>
    </border>
    <border>
      <left style="thin">
        <color rgb="FFBBDEFB"/>
      </left>
      <right style="thin">
        <color rgb="FFBBDEFB"/>
      </right>
      <top/>
      <bottom style="thin">
        <color rgb="FFBBDEFB"/>
      </bottom>
      <diagonal/>
    </border>
    <border>
      <left style="thin">
        <color rgb="FFBBDEFB"/>
      </left>
      <right style="thin">
        <color rgb="FFBBDEFB"/>
      </right>
      <top style="thin">
        <color rgb="FFBBDEFB"/>
      </top>
      <bottom style="medium">
        <color rgb="FF1976D2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thin">
        <color rgb="FFC8E6C9"/>
      </left>
      <right style="thin">
        <color rgb="FFC8E6C9"/>
      </right>
      <top/>
      <bottom style="thin">
        <color rgb="FFC8E6C9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medium">
        <color rgb="FF388E3C"/>
      </bottom>
      <diagonal/>
    </border>
    <border>
      <left style="thin">
        <color rgb="FFF4C99B"/>
      </left>
      <right style="thin">
        <color rgb="FFF4C99B"/>
      </right>
      <top style="thin">
        <color rgb="FFF4C99B"/>
      </top>
      <bottom style="thin">
        <color rgb="FFF4C99B"/>
      </bottom>
      <diagonal/>
    </border>
    <border>
      <left style="thin">
        <color rgb="FFF4C99B"/>
      </left>
      <right style="thin">
        <color rgb="FFF4C99B"/>
      </right>
      <top/>
      <bottom style="thin">
        <color rgb="FFF4C99B"/>
      </bottom>
      <diagonal/>
    </border>
    <border>
      <left style="thin">
        <color rgb="FFF4C99B"/>
      </left>
      <right style="thin">
        <color rgb="FFF4C99B"/>
      </right>
      <top style="thin">
        <color rgb="FFF4C99B"/>
      </top>
      <bottom style="medium">
        <color rgb="FFE67E22"/>
      </bottom>
      <diagonal/>
    </border>
    <border>
      <left style="thin">
        <color rgb="FFB2DFDB"/>
      </left>
      <right style="thin">
        <color rgb="FFB2DFDB"/>
      </right>
      <top style="thin">
        <color rgb="FFB2DFDB"/>
      </top>
      <bottom style="thin">
        <color rgb="FFB2DFDB"/>
      </bottom>
      <diagonal/>
    </border>
    <border>
      <left style="thin">
        <color rgb="FFB2DFDB"/>
      </left>
      <right style="thin">
        <color rgb="FFB2DFDB"/>
      </right>
      <top/>
      <bottom style="thin">
        <color rgb="FFB2DFDB"/>
      </bottom>
      <diagonal/>
    </border>
    <border>
      <left style="thin">
        <color rgb="FFB2DFDB"/>
      </left>
      <right style="thin">
        <color rgb="FFB2DFDB"/>
      </right>
      <top style="thin">
        <color rgb="FFB2DFDB"/>
      </top>
      <bottom style="medium">
        <color rgb="FF00897B"/>
      </bottom>
      <diagonal/>
    </border>
    <border>
      <left style="thin">
        <color rgb="FFD1C4E9"/>
      </left>
      <right style="thin">
        <color rgb="FFD1C4E9"/>
      </right>
      <top style="thin">
        <color rgb="FFD1C4E9"/>
      </top>
      <bottom style="thin">
        <color rgb="FFD1C4E9"/>
      </bottom>
      <diagonal/>
    </border>
    <border>
      <left style="thin">
        <color rgb="FFD1C4E9"/>
      </left>
      <right style="thin">
        <color rgb="FFD1C4E9"/>
      </right>
      <top/>
      <bottom style="thin">
        <color rgb="FFD1C4E9"/>
      </bottom>
      <diagonal/>
    </border>
    <border>
      <left style="thin">
        <color rgb="FFD1C4E9"/>
      </left>
      <right style="thin">
        <color rgb="FFD1C4E9"/>
      </right>
      <top style="thin">
        <color rgb="FFD1C4E9"/>
      </top>
      <bottom style="medium">
        <color rgb="FF7B1FA2"/>
      </bottom>
      <diagonal/>
    </border>
    <border>
      <left/>
      <right/>
      <top style="thin">
        <color rgb="FFCFD8DC"/>
      </top>
      <bottom/>
      <diagonal/>
    </border>
    <border>
      <left/>
      <right/>
      <top/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/>
      <diagonal/>
    </border>
    <border>
      <left style="thin">
        <color rgb="FFCFD8DC"/>
      </left>
      <right/>
      <top/>
      <bottom/>
      <diagonal/>
    </border>
    <border>
      <left style="thin">
        <color rgb="FFCFD8DC"/>
      </left>
      <right/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/>
      <diagonal/>
    </border>
    <border>
      <left/>
      <right style="thin">
        <color rgb="FFCFD8DC"/>
      </right>
      <top/>
      <bottom/>
      <diagonal/>
    </border>
    <border>
      <left/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medium">
        <color rgb="FF546E7A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/>
      <diagonal/>
    </border>
    <border>
      <left style="thin">
        <color rgb="FFCFD8DC"/>
      </left>
      <right style="thin">
        <color rgb="FFCFD8DC"/>
      </right>
      <top style="medium">
        <color rgb="FF546E7A"/>
      </top>
      <bottom style="thin">
        <color rgb="FFCFD8DC"/>
      </bottom>
      <diagonal/>
    </border>
    <border>
      <left/>
      <right/>
      <top style="thin">
        <color rgb="FF1976D2"/>
      </top>
      <bottom/>
      <diagonal/>
    </border>
    <border>
      <left/>
      <right/>
      <top/>
      <bottom style="thin">
        <color rgb="FF1976D2"/>
      </bottom>
      <diagonal/>
    </border>
    <border>
      <left style="thin">
        <color rgb="FF1976D2"/>
      </left>
      <right/>
      <top style="thin">
        <color rgb="FF1976D2"/>
      </top>
      <bottom/>
      <diagonal/>
    </border>
    <border>
      <left style="thin">
        <color rgb="FF1976D2"/>
      </left>
      <right/>
      <top/>
      <bottom/>
      <diagonal/>
    </border>
    <border>
      <left style="thin">
        <color rgb="FF1976D2"/>
      </left>
      <right/>
      <top/>
      <bottom style="thin">
        <color rgb="FF1976D2"/>
      </bottom>
      <diagonal/>
    </border>
    <border>
      <left/>
      <right/>
      <top style="thin">
        <color rgb="FF388E3C"/>
      </top>
      <bottom/>
      <diagonal/>
    </border>
    <border>
      <left/>
      <right/>
      <top/>
      <bottom style="thin">
        <color rgb="FF388E3C"/>
      </bottom>
      <diagonal/>
    </border>
    <border>
      <left style="thin">
        <color rgb="FF388E3C"/>
      </left>
      <right/>
      <top style="thin">
        <color rgb="FF388E3C"/>
      </top>
      <bottom/>
      <diagonal/>
    </border>
    <border>
      <left style="thin">
        <color rgb="FF388E3C"/>
      </left>
      <right/>
      <top/>
      <bottom/>
      <diagonal/>
    </border>
    <border>
      <left style="thin">
        <color rgb="FF388E3C"/>
      </left>
      <right/>
      <top/>
      <bottom style="thin">
        <color rgb="FF388E3C"/>
      </bottom>
      <diagonal/>
    </border>
    <border>
      <left/>
      <right/>
      <top style="thin">
        <color rgb="FF2E7D32"/>
      </top>
      <bottom/>
      <diagonal/>
    </border>
    <border>
      <left/>
      <right/>
      <top/>
      <bottom style="thin">
        <color rgb="FF2E7D32"/>
      </bottom>
      <diagonal/>
    </border>
    <border>
      <left style="thin">
        <color rgb="FF2E7D32"/>
      </left>
      <right/>
      <top style="thin">
        <color rgb="FF2E7D32"/>
      </top>
      <bottom/>
      <diagonal/>
    </border>
    <border>
      <left style="thin">
        <color rgb="FF2E7D32"/>
      </left>
      <right/>
      <top/>
      <bottom/>
      <diagonal/>
    </border>
    <border>
      <left style="thin">
        <color rgb="FF2E7D32"/>
      </left>
      <right/>
      <top/>
      <bottom style="thin">
        <color rgb="FF2E7D32"/>
      </bottom>
      <diagonal/>
    </border>
    <border>
      <left/>
      <right/>
      <top style="thin">
        <color rgb="FFE67E22"/>
      </top>
      <bottom/>
      <diagonal/>
    </border>
    <border>
      <left/>
      <right/>
      <top/>
      <bottom style="thin">
        <color rgb="FFE67E22"/>
      </bottom>
      <diagonal/>
    </border>
    <border>
      <left style="thin">
        <color rgb="FFE67E22"/>
      </left>
      <right/>
      <top style="thin">
        <color rgb="FFE67E22"/>
      </top>
      <bottom/>
      <diagonal/>
    </border>
    <border>
      <left style="thin">
        <color rgb="FFE67E22"/>
      </left>
      <right/>
      <top/>
      <bottom/>
      <diagonal/>
    </border>
    <border>
      <left style="thin">
        <color rgb="FFE67E22"/>
      </left>
      <right/>
      <top/>
      <bottom style="thin">
        <color rgb="FFE67E22"/>
      </bottom>
      <diagonal/>
    </border>
    <border>
      <left/>
      <right/>
      <top style="thin">
        <color rgb="FF00897B"/>
      </top>
      <bottom/>
      <diagonal/>
    </border>
    <border>
      <left/>
      <right/>
      <top/>
      <bottom style="thin">
        <color rgb="FF00897B"/>
      </bottom>
      <diagonal/>
    </border>
    <border>
      <left style="thin">
        <color rgb="FF00897B"/>
      </left>
      <right/>
      <top style="thin">
        <color rgb="FF00897B"/>
      </top>
      <bottom/>
      <diagonal/>
    </border>
    <border>
      <left style="thin">
        <color rgb="FF00897B"/>
      </left>
      <right/>
      <top/>
      <bottom/>
      <diagonal/>
    </border>
    <border>
      <left style="thin">
        <color rgb="FF00897B"/>
      </left>
      <right/>
      <top/>
      <bottom style="thin">
        <color rgb="FF00897B"/>
      </bottom>
      <diagonal/>
    </border>
    <border>
      <left style="thin">
        <color rgb="FF7B1FA2"/>
      </left>
      <right/>
      <top style="thin">
        <color rgb="FF7B1FA2"/>
      </top>
      <bottom/>
      <diagonal/>
    </border>
    <border>
      <left style="thin">
        <color rgb="FF7B1FA2"/>
      </left>
      <right/>
      <top/>
      <bottom/>
      <diagonal/>
    </border>
    <border>
      <left style="thin">
        <color rgb="FF7B1FA2"/>
      </left>
      <right/>
      <top/>
      <bottom style="thin">
        <color rgb="FF7B1FA2"/>
      </bottom>
      <diagonal/>
    </border>
    <border>
      <left/>
      <right style="thin">
        <color rgb="FF7B1FA2"/>
      </right>
      <top style="thin">
        <color rgb="FF7B1FA2"/>
      </top>
      <bottom/>
      <diagonal/>
    </border>
    <border>
      <left/>
      <right style="thin">
        <color rgb="FF7B1FA2"/>
      </right>
      <top/>
      <bottom/>
      <diagonal/>
    </border>
    <border>
      <left/>
      <right style="thin">
        <color rgb="FF7B1FA2"/>
      </right>
      <top/>
      <bottom style="thin">
        <color rgb="FF7B1FA2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F3864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319"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165" fontId="10" fillId="7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14" fillId="10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166" fontId="17" fillId="13" borderId="3" xfId="0" applyNumberFormat="1" applyFont="1" applyFill="1" applyBorder="1" applyAlignment="1">
      <alignment horizontal="right" vertical="center" wrapText="1"/>
    </xf>
    <xf numFmtId="166" fontId="16" fillId="14" borderId="3" xfId="0" applyNumberFormat="1" applyFont="1" applyFill="1" applyBorder="1" applyAlignment="1">
      <alignment horizontal="right" vertical="center" wrapText="1"/>
    </xf>
    <xf numFmtId="166" fontId="17" fillId="8" borderId="3" xfId="0" applyNumberFormat="1" applyFont="1" applyFill="1" applyBorder="1" applyAlignment="1">
      <alignment horizontal="right" vertical="center" wrapText="1"/>
    </xf>
    <xf numFmtId="167" fontId="17" fillId="8" borderId="3" xfId="0" applyNumberFormat="1" applyFont="1" applyFill="1" applyBorder="1" applyAlignment="1">
      <alignment horizontal="right" vertical="center" wrapText="1"/>
    </xf>
    <xf numFmtId="167" fontId="16" fillId="14" borderId="3" xfId="0" applyNumberFormat="1" applyFont="1" applyFill="1" applyBorder="1" applyAlignment="1">
      <alignment horizontal="right" vertical="center" wrapText="1"/>
    </xf>
    <xf numFmtId="167" fontId="17" fillId="13" borderId="3" xfId="0" applyNumberFormat="1" applyFont="1" applyFill="1" applyBorder="1" applyAlignment="1">
      <alignment horizontal="right" vertical="center" wrapText="1"/>
    </xf>
    <xf numFmtId="168" fontId="17" fillId="8" borderId="3" xfId="0" applyNumberFormat="1" applyFont="1" applyFill="1" applyBorder="1" applyAlignment="1">
      <alignment horizontal="right" vertical="center" wrapText="1"/>
    </xf>
    <xf numFmtId="168" fontId="16" fillId="14" borderId="3" xfId="0" applyNumberFormat="1" applyFont="1" applyFill="1" applyBorder="1" applyAlignment="1">
      <alignment horizontal="right" vertical="center" wrapText="1"/>
    </xf>
    <xf numFmtId="0" fontId="0" fillId="0" borderId="5" xfId="0" applyBorder="1"/>
    <xf numFmtId="0" fontId="14" fillId="10" borderId="5" xfId="0" applyFont="1" applyFill="1" applyBorder="1" applyAlignment="1">
      <alignment horizontal="left" vertical="center"/>
    </xf>
    <xf numFmtId="0" fontId="17" fillId="8" borderId="5" xfId="0" applyFont="1" applyFill="1" applyBorder="1" applyAlignment="1">
      <alignment horizontal="left" vertical="center" indent="1"/>
    </xf>
    <xf numFmtId="0" fontId="14" fillId="11" borderId="7" xfId="0" applyFont="1" applyFill="1" applyBorder="1" applyAlignment="1">
      <alignment horizontal="center" vertical="center" wrapText="1"/>
    </xf>
    <xf numFmtId="0" fontId="0" fillId="0" borderId="7" xfId="0" applyBorder="1"/>
    <xf numFmtId="166" fontId="16" fillId="14" borderId="7" xfId="0" applyNumberFormat="1" applyFont="1" applyFill="1" applyBorder="1" applyAlignment="1">
      <alignment horizontal="right" vertical="center" wrapText="1"/>
    </xf>
    <xf numFmtId="167" fontId="16" fillId="14" borderId="7" xfId="0" applyNumberFormat="1" applyFont="1" applyFill="1" applyBorder="1" applyAlignment="1">
      <alignment horizontal="right" vertical="center" wrapText="1"/>
    </xf>
    <xf numFmtId="168" fontId="16" fillId="14" borderId="7" xfId="0" applyNumberFormat="1" applyFont="1" applyFill="1" applyBorder="1" applyAlignment="1">
      <alignment horizontal="right" vertical="center" wrapText="1"/>
    </xf>
    <xf numFmtId="0" fontId="0" fillId="15" borderId="0" xfId="0" applyFill="1"/>
    <xf numFmtId="167" fontId="16" fillId="8" borderId="3" xfId="0" applyNumberFormat="1" applyFont="1" applyFill="1" applyBorder="1" applyAlignment="1">
      <alignment horizontal="right" vertical="center" wrapText="1"/>
    </xf>
    <xf numFmtId="167" fontId="16" fillId="13" borderId="3" xfId="0" applyNumberFormat="1" applyFont="1" applyFill="1" applyBorder="1" applyAlignment="1">
      <alignment horizontal="right" vertical="center" wrapText="1"/>
    </xf>
    <xf numFmtId="168" fontId="16" fillId="8" borderId="3" xfId="0" applyNumberFormat="1" applyFont="1" applyFill="1" applyBorder="1" applyAlignment="1">
      <alignment horizontal="right" vertical="center" wrapText="1"/>
    </xf>
    <xf numFmtId="0" fontId="2" fillId="16" borderId="1" xfId="0" applyFont="1" applyFill="1" applyBorder="1" applyAlignment="1">
      <alignment horizontal="left" vertical="center"/>
    </xf>
    <xf numFmtId="164" fontId="6" fillId="16" borderId="1" xfId="0" applyNumberFormat="1" applyFont="1" applyFill="1" applyBorder="1" applyAlignment="1">
      <alignment horizontal="right" vertical="center"/>
    </xf>
    <xf numFmtId="164" fontId="2" fillId="17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164" fontId="6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11" fillId="18" borderId="0" xfId="0" applyFont="1" applyFill="1" applyAlignment="1">
      <alignment horizontal="center"/>
    </xf>
    <xf numFmtId="0" fontId="19" fillId="19" borderId="0" xfId="0" applyFont="1" applyFill="1" applyAlignment="1">
      <alignment horizontal="center"/>
    </xf>
    <xf numFmtId="0" fontId="19" fillId="18" borderId="0" xfId="0" applyFont="1" applyFill="1" applyAlignment="1">
      <alignment horizontal="center"/>
    </xf>
    <xf numFmtId="169" fontId="20" fillId="20" borderId="0" xfId="0" applyNumberFormat="1" applyFont="1" applyFill="1" applyAlignment="1">
      <alignment horizontal="right"/>
    </xf>
    <xf numFmtId="169" fontId="11" fillId="19" borderId="0" xfId="0" applyNumberFormat="1" applyFont="1" applyFill="1" applyAlignment="1">
      <alignment horizontal="left"/>
    </xf>
    <xf numFmtId="169" fontId="11" fillId="19" borderId="0" xfId="0" applyNumberFormat="1" applyFont="1" applyFill="1" applyAlignment="1">
      <alignment horizontal="right"/>
    </xf>
    <xf numFmtId="169" fontId="21" fillId="21" borderId="0" xfId="0" applyNumberFormat="1" applyFont="1" applyFill="1" applyAlignment="1">
      <alignment horizontal="right"/>
    </xf>
    <xf numFmtId="169" fontId="22" fillId="22" borderId="10" xfId="0" applyNumberFormat="1" applyFont="1" applyFill="1" applyBorder="1" applyAlignment="1">
      <alignment horizontal="right"/>
    </xf>
    <xf numFmtId="169" fontId="20" fillId="20" borderId="0" xfId="0" applyNumberFormat="1" applyFont="1" applyFill="1" applyAlignment="1">
      <alignment horizontal="left" indent="2"/>
    </xf>
    <xf numFmtId="169" fontId="21" fillId="21" borderId="0" xfId="0" applyNumberFormat="1" applyFont="1" applyFill="1" applyAlignment="1">
      <alignment horizontal="left" indent="1"/>
    </xf>
    <xf numFmtId="169" fontId="22" fillId="22" borderId="10" xfId="0" applyNumberFormat="1" applyFont="1" applyFill="1" applyBorder="1" applyAlignment="1">
      <alignment horizontal="left" indent="1"/>
    </xf>
    <xf numFmtId="169" fontId="0" fillId="15" borderId="0" xfId="0" applyNumberFormat="1" applyFill="1"/>
    <xf numFmtId="0" fontId="15" fillId="12" borderId="9" xfId="0" applyFont="1" applyFill="1" applyBorder="1" applyAlignment="1">
      <alignment vertical="center"/>
    </xf>
    <xf numFmtId="0" fontId="15" fillId="12" borderId="0" xfId="0" applyFont="1" applyFill="1" applyAlignment="1">
      <alignment vertical="center"/>
    </xf>
    <xf numFmtId="0" fontId="23" fillId="10" borderId="9" xfId="0" applyFont="1" applyFill="1" applyBorder="1" applyAlignment="1">
      <alignment vertical="center"/>
    </xf>
    <xf numFmtId="0" fontId="23" fillId="10" borderId="0" xfId="0" applyFont="1" applyFill="1" applyAlignment="1">
      <alignment vertical="center"/>
    </xf>
    <xf numFmtId="0" fontId="24" fillId="8" borderId="5" xfId="0" applyFont="1" applyFill="1" applyBorder="1" applyAlignment="1">
      <alignment horizontal="left" vertical="center" indent="1"/>
    </xf>
    <xf numFmtId="0" fontId="23" fillId="10" borderId="18" xfId="0" applyFont="1" applyFill="1" applyBorder="1" applyAlignment="1">
      <alignment vertical="center"/>
    </xf>
    <xf numFmtId="0" fontId="23" fillId="10" borderId="19" xfId="0" applyFont="1" applyFill="1" applyBorder="1" applyAlignment="1">
      <alignment vertical="center"/>
    </xf>
    <xf numFmtId="0" fontId="17" fillId="8" borderId="20" xfId="0" applyFont="1" applyFill="1" applyBorder="1" applyAlignment="1">
      <alignment horizontal="left" vertical="center" indent="1"/>
    </xf>
    <xf numFmtId="168" fontId="17" fillId="13" borderId="21" xfId="0" applyNumberFormat="1" applyFont="1" applyFill="1" applyBorder="1" applyAlignment="1">
      <alignment horizontal="right" vertical="center" wrapText="1"/>
    </xf>
    <xf numFmtId="168" fontId="16" fillId="14" borderId="21" xfId="0" applyNumberFormat="1" applyFont="1" applyFill="1" applyBorder="1" applyAlignment="1">
      <alignment horizontal="right" vertical="center" wrapText="1"/>
    </xf>
    <xf numFmtId="168" fontId="16" fillId="13" borderId="21" xfId="0" applyNumberFormat="1" applyFont="1" applyFill="1" applyBorder="1" applyAlignment="1">
      <alignment horizontal="right" vertical="center" wrapText="1"/>
    </xf>
    <xf numFmtId="168" fontId="16" fillId="14" borderId="22" xfId="0" applyNumberFormat="1" applyFont="1" applyFill="1" applyBorder="1" applyAlignment="1">
      <alignment horizontal="right" vertical="center" wrapText="1"/>
    </xf>
    <xf numFmtId="0" fontId="24" fillId="8" borderId="20" xfId="0" applyFont="1" applyFill="1" applyBorder="1" applyAlignment="1">
      <alignment horizontal="left" vertical="center" indent="1"/>
    </xf>
    <xf numFmtId="0" fontId="24" fillId="8" borderId="6" xfId="0" applyFont="1" applyFill="1" applyBorder="1" applyAlignment="1">
      <alignment horizontal="left" vertical="center" indent="1"/>
    </xf>
    <xf numFmtId="170" fontId="24" fillId="13" borderId="23" xfId="0" applyNumberFormat="1" applyFont="1" applyFill="1" applyBorder="1" applyAlignment="1">
      <alignment horizontal="right" vertical="center" wrapText="1"/>
    </xf>
    <xf numFmtId="170" fontId="24" fillId="13" borderId="21" xfId="0" applyNumberFormat="1" applyFont="1" applyFill="1" applyBorder="1" applyAlignment="1">
      <alignment horizontal="right" vertical="center"/>
    </xf>
    <xf numFmtId="170" fontId="24" fillId="13" borderId="21" xfId="0" applyNumberFormat="1" applyFont="1" applyFill="1" applyBorder="1" applyAlignment="1">
      <alignment horizontal="right" vertical="center" wrapText="1"/>
    </xf>
    <xf numFmtId="170" fontId="25" fillId="14" borderId="21" xfId="0" applyNumberFormat="1" applyFont="1" applyFill="1" applyBorder="1" applyAlignment="1">
      <alignment horizontal="right" vertical="center" wrapText="1"/>
    </xf>
    <xf numFmtId="170" fontId="25" fillId="14" borderId="21" xfId="0" applyNumberFormat="1" applyFont="1" applyFill="1" applyBorder="1" applyAlignment="1">
      <alignment horizontal="right" vertical="center"/>
    </xf>
    <xf numFmtId="170" fontId="24" fillId="13" borderId="24" xfId="0" applyNumberFormat="1" applyFont="1" applyFill="1" applyBorder="1" applyAlignment="1">
      <alignment horizontal="right" vertical="center"/>
    </xf>
    <xf numFmtId="170" fontId="25" fillId="14" borderId="22" xfId="0" applyNumberFormat="1" applyFont="1" applyFill="1" applyBorder="1" applyAlignment="1">
      <alignment horizontal="right" vertical="center"/>
    </xf>
    <xf numFmtId="170" fontId="24" fillId="8" borderId="23" xfId="0" applyNumberFormat="1" applyFont="1" applyFill="1" applyBorder="1" applyAlignment="1">
      <alignment horizontal="right" vertical="center" wrapText="1"/>
    </xf>
    <xf numFmtId="170" fontId="24" fillId="8" borderId="21" xfId="0" applyNumberFormat="1" applyFont="1" applyFill="1" applyBorder="1" applyAlignment="1">
      <alignment horizontal="right" vertical="center" wrapText="1"/>
    </xf>
    <xf numFmtId="170" fontId="24" fillId="8" borderId="21" xfId="0" applyNumberFormat="1" applyFont="1" applyFill="1" applyBorder="1" applyAlignment="1">
      <alignment horizontal="right" vertical="center" indent="1"/>
    </xf>
    <xf numFmtId="170" fontId="24" fillId="8" borderId="24" xfId="0" applyNumberFormat="1" applyFont="1" applyFill="1" applyBorder="1" applyAlignment="1">
      <alignment horizontal="right" vertical="center" wrapText="1"/>
    </xf>
    <xf numFmtId="170" fontId="25" fillId="14" borderId="22" xfId="0" applyNumberFormat="1" applyFont="1" applyFill="1" applyBorder="1" applyAlignment="1">
      <alignment horizontal="right" vertical="center" wrapText="1"/>
    </xf>
    <xf numFmtId="2" fontId="24" fillId="13" borderId="3" xfId="0" applyNumberFormat="1" applyFont="1" applyFill="1" applyBorder="1" applyAlignment="1">
      <alignment horizontal="right" vertical="center" wrapText="1"/>
    </xf>
    <xf numFmtId="2" fontId="25" fillId="14" borderId="3" xfId="0" applyNumberFormat="1" applyFont="1" applyFill="1" applyBorder="1" applyAlignment="1">
      <alignment horizontal="right" vertical="center" wrapText="1"/>
    </xf>
    <xf numFmtId="2" fontId="24" fillId="13" borderId="14" xfId="0" applyNumberFormat="1" applyFont="1" applyFill="1" applyBorder="1" applyAlignment="1">
      <alignment horizontal="right" vertical="center" wrapText="1"/>
    </xf>
    <xf numFmtId="2" fontId="24" fillId="13" borderId="11" xfId="0" applyNumberFormat="1" applyFont="1" applyFill="1" applyBorder="1" applyAlignment="1">
      <alignment horizontal="right" vertical="center" wrapText="1"/>
    </xf>
    <xf numFmtId="2" fontId="25" fillId="14" borderId="7" xfId="0" applyNumberFormat="1" applyFont="1" applyFill="1" applyBorder="1" applyAlignment="1">
      <alignment horizontal="right" vertical="center" wrapText="1"/>
    </xf>
    <xf numFmtId="164" fontId="24" fillId="13" borderId="23" xfId="0" applyNumberFormat="1" applyFont="1" applyFill="1" applyBorder="1" applyAlignment="1">
      <alignment horizontal="right" vertical="center" wrapText="1"/>
    </xf>
    <xf numFmtId="164" fontId="24" fillId="13" borderId="21" xfId="0" applyNumberFormat="1" applyFont="1" applyFill="1" applyBorder="1" applyAlignment="1">
      <alignment horizontal="right" vertical="center" wrapText="1"/>
    </xf>
    <xf numFmtId="164" fontId="25" fillId="14" borderId="21" xfId="0" applyNumberFormat="1" applyFont="1" applyFill="1" applyBorder="1" applyAlignment="1">
      <alignment horizontal="right" vertical="center" wrapText="1"/>
    </xf>
    <xf numFmtId="164" fontId="24" fillId="13" borderId="24" xfId="0" applyNumberFormat="1" applyFont="1" applyFill="1" applyBorder="1" applyAlignment="1">
      <alignment horizontal="right" vertical="center" wrapText="1"/>
    </xf>
    <xf numFmtId="164" fontId="25" fillId="14" borderId="22" xfId="0" applyNumberFormat="1" applyFont="1" applyFill="1" applyBorder="1" applyAlignment="1">
      <alignment horizontal="right" vertical="center" wrapText="1"/>
    </xf>
    <xf numFmtId="164" fontId="24" fillId="8" borderId="25" xfId="0" applyNumberFormat="1" applyFont="1" applyFill="1" applyBorder="1" applyAlignment="1">
      <alignment horizontal="right" vertical="center" indent="1"/>
    </xf>
    <xf numFmtId="164" fontId="24" fillId="8" borderId="4" xfId="0" applyNumberFormat="1" applyFont="1" applyFill="1" applyBorder="1" applyAlignment="1">
      <alignment horizontal="right" vertical="center" indent="1"/>
    </xf>
    <xf numFmtId="164" fontId="25" fillId="14" borderId="4" xfId="0" applyNumberFormat="1" applyFont="1" applyFill="1" applyBorder="1" applyAlignment="1">
      <alignment horizontal="right" vertical="center" indent="1"/>
    </xf>
    <xf numFmtId="164" fontId="24" fillId="8" borderId="26" xfId="0" applyNumberFormat="1" applyFont="1" applyFill="1" applyBorder="1" applyAlignment="1">
      <alignment horizontal="right" vertical="center" indent="1"/>
    </xf>
    <xf numFmtId="164" fontId="25" fillId="14" borderId="8" xfId="0" applyNumberFormat="1" applyFont="1" applyFill="1" applyBorder="1" applyAlignment="1">
      <alignment horizontal="right" vertical="center" indent="1"/>
    </xf>
    <xf numFmtId="0" fontId="26" fillId="0" borderId="0" xfId="0" applyFont="1"/>
    <xf numFmtId="165" fontId="26" fillId="0" borderId="0" xfId="0" applyNumberFormat="1" applyFont="1"/>
    <xf numFmtId="2" fontId="26" fillId="0" borderId="0" xfId="0" applyNumberFormat="1" applyFont="1"/>
    <xf numFmtId="1" fontId="26" fillId="0" borderId="0" xfId="0" applyNumberFormat="1" applyFont="1"/>
    <xf numFmtId="171" fontId="26" fillId="0" borderId="0" xfId="0" applyNumberFormat="1" applyFont="1"/>
    <xf numFmtId="165" fontId="28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28" fillId="5" borderId="1" xfId="0" applyNumberFormat="1" applyFont="1" applyFill="1" applyBorder="1" applyAlignment="1">
      <alignment horizontal="center" vertical="center"/>
    </xf>
    <xf numFmtId="165" fontId="28" fillId="24" borderId="1" xfId="0" applyNumberFormat="1" applyFont="1" applyFill="1" applyBorder="1" applyAlignment="1">
      <alignment horizontal="center" vertical="center"/>
    </xf>
    <xf numFmtId="164" fontId="6" fillId="24" borderId="1" xfId="0" applyNumberFormat="1" applyFont="1" applyFill="1" applyBorder="1" applyAlignment="1">
      <alignment horizontal="right" vertical="center"/>
    </xf>
    <xf numFmtId="165" fontId="28" fillId="5" borderId="1" xfId="1" applyNumberFormat="1" applyFont="1" applyFill="1" applyBorder="1" applyAlignment="1">
      <alignment horizontal="center" vertical="center"/>
    </xf>
    <xf numFmtId="169" fontId="22" fillId="25" borderId="0" xfId="0" applyNumberFormat="1" applyFont="1" applyFill="1" applyAlignment="1">
      <alignment horizontal="right"/>
    </xf>
    <xf numFmtId="169" fontId="22" fillId="25" borderId="10" xfId="0" applyNumberFormat="1" applyFont="1" applyFill="1" applyBorder="1" applyAlignment="1">
      <alignment horizontal="right"/>
    </xf>
    <xf numFmtId="0" fontId="30" fillId="8" borderId="27" xfId="0" applyFont="1" applyFill="1" applyBorder="1" applyAlignment="1">
      <alignment horizontal="left" vertical="center" indent="1"/>
    </xf>
    <xf numFmtId="0" fontId="30" fillId="23" borderId="27" xfId="0" applyFont="1" applyFill="1" applyBorder="1" applyAlignment="1">
      <alignment horizontal="left" vertical="center" indent="1"/>
    </xf>
    <xf numFmtId="0" fontId="0" fillId="10" borderId="0" xfId="0" applyFill="1"/>
    <xf numFmtId="0" fontId="31" fillId="10" borderId="27" xfId="0" applyFont="1" applyFill="1" applyBorder="1" applyAlignment="1">
      <alignment horizontal="left" vertical="center" indent="1"/>
    </xf>
    <xf numFmtId="172" fontId="0" fillId="0" borderId="0" xfId="0" applyNumberFormat="1"/>
    <xf numFmtId="170" fontId="0" fillId="0" borderId="0" xfId="0" applyNumberFormat="1"/>
    <xf numFmtId="172" fontId="32" fillId="14" borderId="0" xfId="0" applyNumberFormat="1" applyFont="1" applyFill="1"/>
    <xf numFmtId="170" fontId="32" fillId="14" borderId="0" xfId="0" applyNumberFormat="1" applyFont="1" applyFill="1"/>
    <xf numFmtId="0" fontId="33" fillId="0" borderId="0" xfId="0" applyFont="1"/>
    <xf numFmtId="164" fontId="38" fillId="0" borderId="0" xfId="0" applyNumberFormat="1" applyFont="1"/>
    <xf numFmtId="0" fontId="39" fillId="0" borderId="0" xfId="0" applyFont="1"/>
    <xf numFmtId="0" fontId="9" fillId="3" borderId="28" xfId="0" applyFont="1" applyFill="1" applyBorder="1" applyAlignment="1">
      <alignment horizontal="center" vertical="center" wrapText="1"/>
    </xf>
    <xf numFmtId="164" fontId="6" fillId="4" borderId="28" xfId="0" applyNumberFormat="1" applyFont="1" applyFill="1" applyBorder="1" applyAlignment="1">
      <alignment horizontal="right" vertical="center"/>
    </xf>
    <xf numFmtId="164" fontId="5" fillId="6" borderId="28" xfId="0" applyNumberFormat="1" applyFont="1" applyFill="1" applyBorder="1" applyAlignment="1">
      <alignment horizontal="right" vertical="center"/>
    </xf>
    <xf numFmtId="165" fontId="10" fillId="7" borderId="28" xfId="0" applyNumberFormat="1" applyFont="1" applyFill="1" applyBorder="1" applyAlignment="1">
      <alignment horizontal="center" vertical="center"/>
    </xf>
    <xf numFmtId="164" fontId="6" fillId="6" borderId="28" xfId="0" applyNumberFormat="1" applyFont="1" applyFill="1" applyBorder="1" applyAlignment="1">
      <alignment horizontal="right" vertical="center"/>
    </xf>
    <xf numFmtId="164" fontId="6" fillId="5" borderId="28" xfId="0" applyNumberFormat="1" applyFont="1" applyFill="1" applyBorder="1" applyAlignment="1">
      <alignment horizontal="right" vertical="center"/>
    </xf>
    <xf numFmtId="2" fontId="10" fillId="4" borderId="28" xfId="0" applyNumberFormat="1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 wrapText="1"/>
    </xf>
    <xf numFmtId="0" fontId="0" fillId="18" borderId="0" xfId="0" applyFill="1"/>
    <xf numFmtId="0" fontId="44" fillId="18" borderId="0" xfId="0" applyFont="1" applyFill="1" applyAlignment="1">
      <alignment horizontal="left"/>
    </xf>
    <xf numFmtId="0" fontId="45" fillId="26" borderId="0" xfId="0" applyFont="1" applyFill="1" applyAlignment="1">
      <alignment horizontal="left"/>
    </xf>
    <xf numFmtId="0" fontId="0" fillId="26" borderId="0" xfId="0" applyFill="1"/>
    <xf numFmtId="0" fontId="46" fillId="27" borderId="0" xfId="0" applyFont="1" applyFill="1" applyAlignment="1">
      <alignment horizontal="center"/>
    </xf>
    <xf numFmtId="0" fontId="45" fillId="29" borderId="0" xfId="0" applyFont="1" applyFill="1" applyAlignment="1">
      <alignment horizontal="left"/>
    </xf>
    <xf numFmtId="0" fontId="0" fillId="29" borderId="0" xfId="0" applyFill="1"/>
    <xf numFmtId="0" fontId="47" fillId="30" borderId="0" xfId="0" applyFont="1" applyFill="1" applyAlignment="1">
      <alignment horizontal="center"/>
    </xf>
    <xf numFmtId="0" fontId="35" fillId="0" borderId="29" xfId="0" applyFont="1" applyBorder="1" applyAlignment="1">
      <alignment horizontal="left"/>
    </xf>
    <xf numFmtId="167" fontId="0" fillId="0" borderId="29" xfId="0" applyNumberFormat="1" applyBorder="1" applyAlignment="1">
      <alignment horizontal="center"/>
    </xf>
    <xf numFmtId="0" fontId="35" fillId="28" borderId="29" xfId="0" applyFont="1" applyFill="1" applyBorder="1" applyAlignment="1">
      <alignment horizontal="left"/>
    </xf>
    <xf numFmtId="167" fontId="0" fillId="28" borderId="29" xfId="0" applyNumberFormat="1" applyFill="1" applyBorder="1" applyAlignment="1">
      <alignment horizontal="center"/>
    </xf>
    <xf numFmtId="0" fontId="35" fillId="0" borderId="30" xfId="0" applyFont="1" applyBorder="1" applyAlignment="1">
      <alignment horizontal="left"/>
    </xf>
    <xf numFmtId="167" fontId="0" fillId="0" borderId="30" xfId="0" applyNumberFormat="1" applyBorder="1" applyAlignment="1">
      <alignment horizontal="center"/>
    </xf>
    <xf numFmtId="0" fontId="46" fillId="27" borderId="31" xfId="0" applyFont="1" applyFill="1" applyBorder="1" applyAlignment="1">
      <alignment horizontal="left"/>
    </xf>
    <xf numFmtId="0" fontId="46" fillId="27" borderId="31" xfId="0" applyFont="1" applyFill="1" applyBorder="1" applyAlignment="1">
      <alignment horizontal="center"/>
    </xf>
    <xf numFmtId="0" fontId="35" fillId="0" borderId="32" xfId="0" applyFont="1" applyBorder="1" applyAlignment="1">
      <alignment horizontal="left"/>
    </xf>
    <xf numFmtId="165" fontId="0" fillId="0" borderId="32" xfId="0" applyNumberFormat="1" applyBorder="1" applyAlignment="1">
      <alignment horizontal="center"/>
    </xf>
    <xf numFmtId="0" fontId="35" fillId="31" borderId="32" xfId="0" applyFont="1" applyFill="1" applyBorder="1" applyAlignment="1">
      <alignment horizontal="left"/>
    </xf>
    <xf numFmtId="165" fontId="0" fillId="31" borderId="32" xfId="0" applyNumberFormat="1" applyFill="1" applyBorder="1" applyAlignment="1">
      <alignment horizontal="center"/>
    </xf>
    <xf numFmtId="0" fontId="35" fillId="0" borderId="33" xfId="0" applyFont="1" applyBorder="1" applyAlignment="1">
      <alignment horizontal="left"/>
    </xf>
    <xf numFmtId="165" fontId="0" fillId="0" borderId="33" xfId="0" applyNumberFormat="1" applyBorder="1" applyAlignment="1">
      <alignment horizontal="center"/>
    </xf>
    <xf numFmtId="0" fontId="47" fillId="30" borderId="34" xfId="0" applyFont="1" applyFill="1" applyBorder="1" applyAlignment="1">
      <alignment horizontal="left"/>
    </xf>
    <xf numFmtId="0" fontId="47" fillId="30" borderId="34" xfId="0" applyFont="1" applyFill="1" applyBorder="1" applyAlignment="1">
      <alignment horizontal="center"/>
    </xf>
    <xf numFmtId="0" fontId="45" fillId="32" borderId="0" xfId="0" applyFont="1" applyFill="1" applyAlignment="1">
      <alignment horizontal="left"/>
    </xf>
    <xf numFmtId="0" fontId="0" fillId="32" borderId="0" xfId="0" applyFill="1"/>
    <xf numFmtId="0" fontId="48" fillId="33" borderId="0" xfId="0" applyFont="1" applyFill="1" applyAlignment="1">
      <alignment horizontal="center"/>
    </xf>
    <xf numFmtId="0" fontId="45" fillId="35" borderId="0" xfId="0" applyFont="1" applyFill="1" applyAlignment="1">
      <alignment horizontal="left"/>
    </xf>
    <xf numFmtId="0" fontId="0" fillId="35" borderId="0" xfId="0" applyFill="1"/>
    <xf numFmtId="0" fontId="49" fillId="36" borderId="0" xfId="0" applyFont="1" applyFill="1" applyAlignment="1">
      <alignment horizontal="center"/>
    </xf>
    <xf numFmtId="0" fontId="35" fillId="0" borderId="35" xfId="0" applyFont="1" applyBorder="1" applyAlignment="1">
      <alignment horizontal="left"/>
    </xf>
    <xf numFmtId="0" fontId="35" fillId="34" borderId="35" xfId="0" applyFont="1" applyFill="1" applyBorder="1" applyAlignment="1">
      <alignment horizontal="left"/>
    </xf>
    <xf numFmtId="165" fontId="0" fillId="34" borderId="35" xfId="0" applyNumberFormat="1" applyFill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0" fontId="35" fillId="0" borderId="36" xfId="0" applyFont="1" applyBorder="1" applyAlignment="1">
      <alignment horizontal="left"/>
    </xf>
    <xf numFmtId="167" fontId="0" fillId="0" borderId="36" xfId="0" applyNumberFormat="1" applyBorder="1" applyAlignment="1">
      <alignment horizontal="center"/>
    </xf>
    <xf numFmtId="0" fontId="48" fillId="33" borderId="37" xfId="0" applyFont="1" applyFill="1" applyBorder="1" applyAlignment="1">
      <alignment horizontal="left"/>
    </xf>
    <xf numFmtId="0" fontId="48" fillId="33" borderId="37" xfId="0" applyFont="1" applyFill="1" applyBorder="1" applyAlignment="1">
      <alignment horizontal="center"/>
    </xf>
    <xf numFmtId="0" fontId="35" fillId="0" borderId="38" xfId="0" applyFont="1" applyBorder="1" applyAlignment="1">
      <alignment horizontal="left"/>
    </xf>
    <xf numFmtId="0" fontId="35" fillId="37" borderId="38" xfId="0" applyFont="1" applyFill="1" applyBorder="1" applyAlignment="1">
      <alignment horizontal="left"/>
    </xf>
    <xf numFmtId="167" fontId="0" fillId="37" borderId="38" xfId="0" applyNumberFormat="1" applyFill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0" fontId="35" fillId="0" borderId="39" xfId="0" applyFont="1" applyBorder="1" applyAlignment="1">
      <alignment horizontal="left"/>
    </xf>
    <xf numFmtId="165" fontId="0" fillId="0" borderId="39" xfId="0" applyNumberFormat="1" applyBorder="1" applyAlignment="1">
      <alignment horizontal="center"/>
    </xf>
    <xf numFmtId="0" fontId="49" fillId="36" borderId="40" xfId="0" applyFont="1" applyFill="1" applyBorder="1" applyAlignment="1">
      <alignment horizontal="left"/>
    </xf>
    <xf numFmtId="0" fontId="49" fillId="36" borderId="40" xfId="0" applyFont="1" applyFill="1" applyBorder="1" applyAlignment="1">
      <alignment horizontal="center"/>
    </xf>
    <xf numFmtId="0" fontId="45" fillId="38" borderId="0" xfId="0" applyFont="1" applyFill="1" applyAlignment="1">
      <alignment horizontal="left"/>
    </xf>
    <xf numFmtId="0" fontId="0" fillId="38" borderId="0" xfId="0" applyFill="1"/>
    <xf numFmtId="0" fontId="50" fillId="39" borderId="0" xfId="0" applyFont="1" applyFill="1" applyAlignment="1">
      <alignment horizontal="center"/>
    </xf>
    <xf numFmtId="0" fontId="45" fillId="41" borderId="0" xfId="0" applyFont="1" applyFill="1" applyAlignment="1">
      <alignment horizontal="left"/>
    </xf>
    <xf numFmtId="0" fontId="0" fillId="41" borderId="0" xfId="0" applyFill="1"/>
    <xf numFmtId="0" fontId="51" fillId="42" borderId="0" xfId="0" applyFont="1" applyFill="1" applyAlignment="1">
      <alignment horizontal="center"/>
    </xf>
    <xf numFmtId="0" fontId="35" fillId="0" borderId="41" xfId="0" applyFont="1" applyBorder="1" applyAlignment="1">
      <alignment horizontal="left"/>
    </xf>
    <xf numFmtId="0" fontId="35" fillId="40" borderId="41" xfId="0" applyFont="1" applyFill="1" applyBorder="1" applyAlignment="1">
      <alignment horizontal="left"/>
    </xf>
    <xf numFmtId="165" fontId="0" fillId="40" borderId="41" xfId="0" applyNumberFormat="1" applyFill="1" applyBorder="1" applyAlignment="1">
      <alignment horizontal="center"/>
    </xf>
    <xf numFmtId="165" fontId="0" fillId="0" borderId="41" xfId="0" applyNumberFormat="1" applyBorder="1" applyAlignment="1">
      <alignment horizontal="center"/>
    </xf>
    <xf numFmtId="0" fontId="35" fillId="0" borderId="42" xfId="0" applyFont="1" applyBorder="1" applyAlignment="1">
      <alignment horizontal="left"/>
    </xf>
    <xf numFmtId="167" fontId="0" fillId="0" borderId="42" xfId="0" applyNumberFormat="1" applyBorder="1" applyAlignment="1">
      <alignment horizontal="center"/>
    </xf>
    <xf numFmtId="0" fontId="50" fillId="39" borderId="43" xfId="0" applyFont="1" applyFill="1" applyBorder="1" applyAlignment="1">
      <alignment horizontal="left"/>
    </xf>
    <xf numFmtId="0" fontId="50" fillId="39" borderId="43" xfId="0" applyFont="1" applyFill="1" applyBorder="1" applyAlignment="1">
      <alignment horizontal="center"/>
    </xf>
    <xf numFmtId="0" fontId="35" fillId="43" borderId="49" xfId="0" applyFont="1" applyFill="1" applyBorder="1" applyAlignment="1">
      <alignment horizontal="left"/>
    </xf>
    <xf numFmtId="164" fontId="0" fillId="43" borderId="49" xfId="0" applyNumberFormat="1" applyFill="1" applyBorder="1" applyAlignment="1">
      <alignment horizontal="center"/>
    </xf>
    <xf numFmtId="0" fontId="35" fillId="0" borderId="53" xfId="0" applyFont="1" applyBorder="1" applyAlignment="1">
      <alignment horizontal="left"/>
    </xf>
    <xf numFmtId="164" fontId="0" fillId="0" borderId="53" xfId="0" applyNumberFormat="1" applyBorder="1" applyAlignment="1">
      <alignment horizontal="center"/>
    </xf>
    <xf numFmtId="0" fontId="51" fillId="42" borderId="54" xfId="0" applyFont="1" applyFill="1" applyBorder="1" applyAlignment="1">
      <alignment horizontal="left"/>
    </xf>
    <xf numFmtId="0" fontId="51" fillId="42" borderId="54" xfId="0" applyFont="1" applyFill="1" applyBorder="1" applyAlignment="1">
      <alignment horizontal="center"/>
    </xf>
    <xf numFmtId="0" fontId="35" fillId="0" borderId="55" xfId="0" applyFont="1" applyBorder="1" applyAlignment="1">
      <alignment horizontal="left"/>
    </xf>
    <xf numFmtId="164" fontId="0" fillId="0" borderId="55" xfId="0" applyNumberFormat="1" applyBorder="1" applyAlignment="1">
      <alignment horizontal="center"/>
    </xf>
    <xf numFmtId="0" fontId="53" fillId="42" borderId="56" xfId="0" applyFont="1" applyFill="1" applyBorder="1" applyAlignment="1">
      <alignment horizontal="left"/>
    </xf>
    <xf numFmtId="164" fontId="54" fillId="42" borderId="56" xfId="0" applyNumberFormat="1" applyFont="1" applyFill="1" applyBorder="1" applyAlignment="1">
      <alignment horizontal="center"/>
    </xf>
    <xf numFmtId="0" fontId="42" fillId="18" borderId="0" xfId="0" applyFont="1" applyFill="1" applyAlignment="1">
      <alignment horizontal="left"/>
    </xf>
    <xf numFmtId="0" fontId="0" fillId="27" borderId="0" xfId="0" applyFill="1"/>
    <xf numFmtId="0" fontId="0" fillId="27" borderId="58" xfId="0" applyFill="1" applyBorder="1"/>
    <xf numFmtId="174" fontId="55" fillId="27" borderId="60" xfId="0" applyNumberFormat="1" applyFont="1" applyFill="1" applyBorder="1" applyAlignment="1">
      <alignment horizontal="center"/>
    </xf>
    <xf numFmtId="0" fontId="56" fillId="27" borderId="61" xfId="0" applyFont="1" applyFill="1" applyBorder="1" applyAlignment="1">
      <alignment horizontal="center"/>
    </xf>
    <xf numFmtId="0" fontId="0" fillId="30" borderId="0" xfId="0" applyFill="1"/>
    <xf numFmtId="0" fontId="0" fillId="30" borderId="63" xfId="0" applyFill="1" applyBorder="1"/>
    <xf numFmtId="165" fontId="57" fillId="30" borderId="65" xfId="0" applyNumberFormat="1" applyFont="1" applyFill="1" applyBorder="1" applyAlignment="1">
      <alignment horizontal="center"/>
    </xf>
    <xf numFmtId="0" fontId="59" fillId="30" borderId="66" xfId="0" applyFont="1" applyFill="1" applyBorder="1" applyAlignment="1">
      <alignment horizontal="center"/>
    </xf>
    <xf numFmtId="0" fontId="0" fillId="30" borderId="68" xfId="0" applyFill="1" applyBorder="1"/>
    <xf numFmtId="165" fontId="57" fillId="30" borderId="70" xfId="0" applyNumberFormat="1" applyFont="1" applyFill="1" applyBorder="1" applyAlignment="1">
      <alignment horizontal="center"/>
    </xf>
    <xf numFmtId="0" fontId="59" fillId="30" borderId="71" xfId="0" applyFont="1" applyFill="1" applyBorder="1" applyAlignment="1">
      <alignment horizontal="center"/>
    </xf>
    <xf numFmtId="0" fontId="0" fillId="33" borderId="0" xfId="0" applyFill="1"/>
    <xf numFmtId="0" fontId="0" fillId="33" borderId="73" xfId="0" applyFill="1" applyBorder="1"/>
    <xf numFmtId="0" fontId="60" fillId="33" borderId="76" xfId="0" applyFont="1" applyFill="1" applyBorder="1" applyAlignment="1">
      <alignment horizontal="center"/>
    </xf>
    <xf numFmtId="0" fontId="0" fillId="36" borderId="0" xfId="0" applyFill="1"/>
    <xf numFmtId="0" fontId="0" fillId="36" borderId="78" xfId="0" applyFill="1" applyBorder="1"/>
    <xf numFmtId="175" fontId="61" fillId="36" borderId="80" xfId="0" applyNumberFormat="1" applyFont="1" applyFill="1" applyBorder="1" applyAlignment="1">
      <alignment horizontal="center"/>
    </xf>
    <xf numFmtId="0" fontId="62" fillId="36" borderId="81" xfId="0" applyFont="1" applyFill="1" applyBorder="1" applyAlignment="1">
      <alignment horizontal="center"/>
    </xf>
    <xf numFmtId="167" fontId="63" fillId="39" borderId="83" xfId="0" applyNumberFormat="1" applyFont="1" applyFill="1" applyBorder="1" applyAlignment="1">
      <alignment horizontal="center"/>
    </xf>
    <xf numFmtId="0" fontId="64" fillId="39" borderId="84" xfId="0" applyFont="1" applyFill="1" applyBorder="1" applyAlignment="1">
      <alignment horizontal="center"/>
    </xf>
    <xf numFmtId="0" fontId="0" fillId="39" borderId="86" xfId="0" applyFill="1" applyBorder="1"/>
    <xf numFmtId="0" fontId="0" fillId="39" borderId="87" xfId="0" applyFill="1" applyBorder="1"/>
    <xf numFmtId="0" fontId="65" fillId="15" borderId="0" xfId="0" applyFont="1" applyFill="1" applyAlignment="1">
      <alignment horizontal="left"/>
    </xf>
    <xf numFmtId="167" fontId="66" fillId="33" borderId="75" xfId="0" applyNumberFormat="1" applyFont="1" applyFill="1" applyBorder="1" applyAlignment="1">
      <alignment horizontal="center"/>
    </xf>
    <xf numFmtId="173" fontId="35" fillId="15" borderId="0" xfId="0" applyNumberFormat="1" applyFont="1" applyFill="1" applyAlignment="1">
      <alignment horizontal="center"/>
    </xf>
    <xf numFmtId="173" fontId="35" fillId="28" borderId="0" xfId="0" applyNumberFormat="1" applyFont="1" applyFill="1" applyAlignment="1">
      <alignment horizontal="center"/>
    </xf>
    <xf numFmtId="174" fontId="35" fillId="15" borderId="0" xfId="0" applyNumberFormat="1" applyFont="1" applyFill="1" applyAlignment="1">
      <alignment horizontal="center"/>
    </xf>
    <xf numFmtId="174" fontId="35" fillId="31" borderId="0" xfId="0" applyNumberFormat="1" applyFont="1" applyFill="1" applyAlignment="1">
      <alignment horizontal="center"/>
    </xf>
    <xf numFmtId="174" fontId="35" fillId="34" borderId="0" xfId="0" applyNumberFormat="1" applyFont="1" applyFill="1" applyAlignment="1">
      <alignment horizontal="center"/>
    </xf>
    <xf numFmtId="173" fontId="35" fillId="37" borderId="0" xfId="0" applyNumberFormat="1" applyFont="1" applyFill="1" applyAlignment="1">
      <alignment horizontal="center"/>
    </xf>
    <xf numFmtId="176" fontId="35" fillId="15" borderId="0" xfId="0" applyNumberFormat="1" applyFont="1" applyFill="1" applyAlignment="1">
      <alignment horizontal="center"/>
    </xf>
    <xf numFmtId="174" fontId="35" fillId="40" borderId="0" xfId="0" applyNumberFormat="1" applyFont="1" applyFill="1" applyAlignment="1">
      <alignment horizontal="center"/>
    </xf>
    <xf numFmtId="176" fontId="35" fillId="43" borderId="0" xfId="0" applyNumberFormat="1" applyFont="1" applyFill="1" applyAlignment="1">
      <alignment horizontal="center"/>
    </xf>
    <xf numFmtId="176" fontId="53" fillId="42" borderId="0" xfId="0" applyNumberFormat="1" applyFont="1" applyFill="1" applyAlignment="1">
      <alignment horizontal="center"/>
    </xf>
    <xf numFmtId="0" fontId="67" fillId="0" borderId="0" xfId="0" applyFont="1"/>
    <xf numFmtId="0" fontId="11" fillId="18" borderId="90" xfId="0" applyFont="1" applyFill="1" applyBorder="1" applyAlignment="1">
      <alignment horizontal="center"/>
    </xf>
    <xf numFmtId="0" fontId="11" fillId="18" borderId="90" xfId="0" applyFont="1" applyFill="1" applyBorder="1" applyAlignment="1">
      <alignment horizontal="left"/>
    </xf>
    <xf numFmtId="0" fontId="68" fillId="0" borderId="89" xfId="0" applyFon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58" fillId="30" borderId="89" xfId="0" applyFont="1" applyFill="1" applyBorder="1" applyAlignment="1">
      <alignment horizontal="center" vertical="center"/>
    </xf>
    <xf numFmtId="0" fontId="0" fillId="0" borderId="89" xfId="0" applyBorder="1" applyAlignment="1">
      <alignment horizontal="left" vertical="center" wrapText="1"/>
    </xf>
    <xf numFmtId="0" fontId="43" fillId="0" borderId="89" xfId="0" applyFont="1" applyBorder="1" applyAlignment="1">
      <alignment horizontal="left" vertical="center" wrapText="1"/>
    </xf>
    <xf numFmtId="0" fontId="35" fillId="0" borderId="89" xfId="0" applyFont="1" applyBorder="1" applyAlignment="1">
      <alignment horizontal="left" vertical="center" wrapText="1"/>
    </xf>
    <xf numFmtId="0" fontId="69" fillId="46" borderId="89" xfId="0" applyFont="1" applyFill="1" applyBorder="1" applyAlignment="1">
      <alignment horizontal="center" vertical="center"/>
    </xf>
    <xf numFmtId="0" fontId="68" fillId="13" borderId="88" xfId="0" applyFont="1" applyFill="1" applyBorder="1" applyAlignment="1">
      <alignment horizontal="center" vertical="center"/>
    </xf>
    <xf numFmtId="17" fontId="0" fillId="13" borderId="88" xfId="0" applyNumberFormat="1" applyFill="1" applyBorder="1" applyAlignment="1">
      <alignment horizontal="center" vertical="center"/>
    </xf>
    <xf numFmtId="0" fontId="70" fillId="47" borderId="88" xfId="0" applyFont="1" applyFill="1" applyBorder="1" applyAlignment="1">
      <alignment horizontal="center" vertical="center"/>
    </xf>
    <xf numFmtId="0" fontId="0" fillId="13" borderId="88" xfId="0" applyFill="1" applyBorder="1" applyAlignment="1">
      <alignment horizontal="left" vertical="center" wrapText="1"/>
    </xf>
    <xf numFmtId="0" fontId="43" fillId="13" borderId="88" xfId="0" applyFont="1" applyFill="1" applyBorder="1" applyAlignment="1">
      <alignment horizontal="left" vertical="center" wrapText="1"/>
    </xf>
    <xf numFmtId="0" fontId="35" fillId="13" borderId="88" xfId="0" applyFont="1" applyFill="1" applyBorder="1" applyAlignment="1">
      <alignment horizontal="left" vertical="center" wrapText="1"/>
    </xf>
    <xf numFmtId="0" fontId="71" fillId="48" borderId="88" xfId="0" applyFont="1" applyFill="1" applyBorder="1" applyAlignment="1">
      <alignment horizontal="center" vertical="center"/>
    </xf>
    <xf numFmtId="0" fontId="68" fillId="0" borderId="88" xfId="0" applyFont="1" applyBorder="1" applyAlignment="1">
      <alignment horizontal="center" vertical="center"/>
    </xf>
    <xf numFmtId="17" fontId="0" fillId="0" borderId="88" xfId="0" applyNumberFormat="1" applyBorder="1" applyAlignment="1">
      <alignment horizontal="center" vertical="center"/>
    </xf>
    <xf numFmtId="0" fontId="0" fillId="0" borderId="88" xfId="0" applyBorder="1" applyAlignment="1">
      <alignment horizontal="left" vertical="center" wrapText="1"/>
    </xf>
    <xf numFmtId="0" fontId="43" fillId="0" borderId="88" xfId="0" applyFont="1" applyBorder="1" applyAlignment="1">
      <alignment horizontal="left" vertical="center" wrapText="1"/>
    </xf>
    <xf numFmtId="0" fontId="35" fillId="0" borderId="88" xfId="0" applyFont="1" applyBorder="1" applyAlignment="1">
      <alignment horizontal="left" vertical="center" wrapText="1"/>
    </xf>
    <xf numFmtId="0" fontId="0" fillId="13" borderId="88" xfId="0" applyFill="1" applyBorder="1" applyAlignment="1">
      <alignment horizontal="center" vertical="center"/>
    </xf>
    <xf numFmtId="0" fontId="58" fillId="30" borderId="88" xfId="0" applyFont="1" applyFill="1" applyBorder="1" applyAlignment="1">
      <alignment horizontal="center" vertical="center"/>
    </xf>
    <xf numFmtId="0" fontId="69" fillId="46" borderId="88" xfId="0" applyFont="1" applyFill="1" applyBorder="1" applyAlignment="1">
      <alignment horizontal="center" vertical="center"/>
    </xf>
    <xf numFmtId="0" fontId="72" fillId="49" borderId="88" xfId="0" applyFont="1" applyFill="1" applyBorder="1" applyAlignment="1">
      <alignment horizontal="center" vertical="center"/>
    </xf>
    <xf numFmtId="0" fontId="73" fillId="50" borderId="88" xfId="0" applyFont="1" applyFill="1" applyBorder="1" applyAlignment="1">
      <alignment horizontal="center" vertical="center"/>
    </xf>
    <xf numFmtId="0" fontId="74" fillId="13" borderId="88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5" fillId="0" borderId="0" xfId="0" applyFont="1" applyAlignment="1">
      <alignment horizontal="left"/>
    </xf>
    <xf numFmtId="167" fontId="66" fillId="33" borderId="0" xfId="0" applyNumberFormat="1" applyFont="1" applyFill="1" applyAlignment="1">
      <alignment horizontal="center"/>
    </xf>
    <xf numFmtId="0" fontId="46" fillId="15" borderId="0" xfId="0" applyFont="1" applyFill="1" applyAlignment="1">
      <alignment horizontal="center"/>
    </xf>
    <xf numFmtId="0" fontId="48" fillId="15" borderId="0" xfId="0" applyFont="1" applyFill="1" applyAlignment="1">
      <alignment horizontal="center"/>
    </xf>
    <xf numFmtId="0" fontId="50" fillId="15" borderId="0" xfId="0" applyFont="1" applyFill="1" applyAlignment="1">
      <alignment horizontal="center"/>
    </xf>
    <xf numFmtId="0" fontId="34" fillId="26" borderId="59" xfId="0" applyFont="1" applyFill="1" applyBorder="1" applyAlignment="1">
      <alignment horizontal="left" vertical="top"/>
    </xf>
    <xf numFmtId="0" fontId="76" fillId="26" borderId="57" xfId="0" applyFont="1" applyFill="1" applyBorder="1" applyAlignment="1">
      <alignment horizontal="left" vertical="top"/>
    </xf>
    <xf numFmtId="0" fontId="34" fillId="29" borderId="64" xfId="0" applyFont="1" applyFill="1" applyBorder="1" applyAlignment="1">
      <alignment horizontal="left" vertical="top"/>
    </xf>
    <xf numFmtId="0" fontId="76" fillId="29" borderId="62" xfId="0" applyFont="1" applyFill="1" applyBorder="1" applyAlignment="1">
      <alignment horizontal="left" vertical="top"/>
    </xf>
    <xf numFmtId="0" fontId="34" fillId="44" borderId="69" xfId="0" applyFont="1" applyFill="1" applyBorder="1" applyAlignment="1">
      <alignment horizontal="left" vertical="top"/>
    </xf>
    <xf numFmtId="0" fontId="76" fillId="44" borderId="67" xfId="0" applyFont="1" applyFill="1" applyBorder="1" applyAlignment="1">
      <alignment horizontal="left" vertical="top"/>
    </xf>
    <xf numFmtId="0" fontId="34" fillId="32" borderId="74" xfId="0" applyFont="1" applyFill="1" applyBorder="1" applyAlignment="1">
      <alignment horizontal="left" vertical="top"/>
    </xf>
    <xf numFmtId="0" fontId="76" fillId="32" borderId="72" xfId="0" applyFont="1" applyFill="1" applyBorder="1" applyAlignment="1">
      <alignment horizontal="left" vertical="top"/>
    </xf>
    <xf numFmtId="0" fontId="34" fillId="35" borderId="79" xfId="0" applyFont="1" applyFill="1" applyBorder="1" applyAlignment="1">
      <alignment horizontal="left" vertical="top"/>
    </xf>
    <xf numFmtId="0" fontId="76" fillId="35" borderId="77" xfId="0" applyFont="1" applyFill="1" applyBorder="1" applyAlignment="1">
      <alignment horizontal="left" vertical="top"/>
    </xf>
    <xf numFmtId="0" fontId="34" fillId="38" borderId="82" xfId="0" applyFont="1" applyFill="1" applyBorder="1" applyAlignment="1">
      <alignment horizontal="left" vertical="top"/>
    </xf>
    <xf numFmtId="0" fontId="76" fillId="38" borderId="85" xfId="0" applyFont="1" applyFill="1" applyBorder="1" applyAlignment="1">
      <alignment horizontal="left" vertical="top"/>
    </xf>
    <xf numFmtId="0" fontId="76" fillId="15" borderId="0" xfId="0" applyFont="1" applyFill="1" applyAlignment="1">
      <alignment horizontal="left" vertical="top"/>
    </xf>
    <xf numFmtId="0" fontId="60" fillId="3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2" fillId="45" borderId="46" xfId="0" applyFont="1" applyFill="1" applyBorder="1" applyAlignment="1">
      <alignment horizontal="left"/>
    </xf>
    <xf numFmtId="0" fontId="52" fillId="45" borderId="44" xfId="0" applyFont="1" applyFill="1" applyBorder="1" applyAlignment="1">
      <alignment horizontal="left"/>
    </xf>
    <xf numFmtId="0" fontId="52" fillId="45" borderId="50" xfId="0" applyFont="1" applyFill="1" applyBorder="1" applyAlignment="1">
      <alignment horizontal="left"/>
    </xf>
    <xf numFmtId="0" fontId="52" fillId="13" borderId="47" xfId="0" applyFont="1" applyFill="1" applyBorder="1" applyAlignment="1">
      <alignment horizontal="left"/>
    </xf>
    <xf numFmtId="0" fontId="52" fillId="13" borderId="0" xfId="0" applyFont="1" applyFill="1" applyAlignment="1">
      <alignment horizontal="left"/>
    </xf>
    <xf numFmtId="0" fontId="52" fillId="13" borderId="51" xfId="0" applyFont="1" applyFill="1" applyBorder="1" applyAlignment="1">
      <alignment horizontal="left"/>
    </xf>
    <xf numFmtId="0" fontId="52" fillId="45" borderId="47" xfId="0" applyFont="1" applyFill="1" applyBorder="1" applyAlignment="1">
      <alignment horizontal="left"/>
    </xf>
    <xf numFmtId="0" fontId="52" fillId="45" borderId="0" xfId="0" applyFont="1" applyFill="1" applyAlignment="1">
      <alignment horizontal="left"/>
    </xf>
    <xf numFmtId="0" fontId="52" fillId="45" borderId="51" xfId="0" applyFont="1" applyFill="1" applyBorder="1" applyAlignment="1">
      <alignment horizontal="left"/>
    </xf>
    <xf numFmtId="0" fontId="52" fillId="13" borderId="48" xfId="0" applyFont="1" applyFill="1" applyBorder="1" applyAlignment="1">
      <alignment horizontal="left"/>
    </xf>
    <xf numFmtId="0" fontId="52" fillId="13" borderId="45" xfId="0" applyFont="1" applyFill="1" applyBorder="1" applyAlignment="1">
      <alignment horizontal="left"/>
    </xf>
    <xf numFmtId="0" fontId="52" fillId="13" borderId="5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8" fillId="18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/>
    </xf>
    <xf numFmtId="0" fontId="29" fillId="18" borderId="0" xfId="0" applyFont="1" applyFill="1" applyAlignment="1">
      <alignment horizontal="center"/>
    </xf>
    <xf numFmtId="0" fontId="12" fillId="9" borderId="15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font>
        <color theme="5" tint="-0.24994659260841701"/>
      </font>
      <numFmt numFmtId="14" formatCode="0.00%"/>
      <fill>
        <patternFill>
          <fgColor rgb="FFFF0000"/>
          <bgColor theme="4" tint="0.59996337778862885"/>
        </patternFill>
      </fill>
    </dxf>
    <dxf>
      <font>
        <b/>
        <i val="0"/>
        <color rgb="FF2E7D32"/>
      </font>
    </dxf>
    <dxf>
      <font>
        <b/>
        <i val="0"/>
        <color rgb="FFC62828"/>
      </font>
    </dxf>
    <dxf>
      <font>
        <b/>
        <i val="0"/>
        <color rgb="FFC62828"/>
      </font>
    </dxf>
    <dxf>
      <font>
        <b/>
        <i val="0"/>
        <color rgb="FF2E7D32"/>
      </font>
    </dxf>
  </dxfs>
  <tableStyles count="0" defaultTableStyle="TableStyleMedium2" defaultPivotStyle="PivotStyleLight16"/>
  <colors>
    <indexedColors>
      <rgbColor rgb="FF000000"/>
      <rgbColor rgb="FFFFFFFF"/>
      <rgbColor rgb="FFCC7C3A"/>
      <rgbColor rgb="FF00FF00"/>
      <rgbColor rgb="FF0000FF"/>
      <rgbColor rgb="FF87A44B"/>
      <rgbColor rgb="FFFF00FF"/>
      <rgbColor rgb="FF00FFFF"/>
      <rgbColor rgb="FF800000"/>
      <rgbColor rgb="FF1E7E34"/>
      <rgbColor rgb="FF000080"/>
      <rgbColor rgb="FF809B49"/>
      <rgbColor rgb="FFC0504D"/>
      <rgbColor rgb="FF0D6E6E"/>
      <rgbColor rgb="FFAABAD7"/>
      <rgbColor rgb="FF878787"/>
      <rgbColor rgb="FF8EA5CA"/>
      <rgbColor rgb="FF9F423F"/>
      <rgbColor rgb="FFFFF3CD"/>
      <rgbColor rgb="FFEBF3FB"/>
      <rgbColor rgb="FF6A5286"/>
      <rgbColor rgb="FFCC8F8E"/>
      <rgbColor rgb="FF416A9C"/>
      <rgbColor rgb="FFD9D9D9"/>
      <rgbColor rgb="FF000080"/>
      <rgbColor rgb="FFFF00FF"/>
      <rgbColor rgb="FFFFFF00"/>
      <rgbColor rgb="FF00FFFF"/>
      <rgbColor rgb="FF800080"/>
      <rgbColor rgb="FF800000"/>
      <rgbColor rgb="FF3D97AF"/>
      <rgbColor rgb="FF0000FF"/>
      <rgbColor rgb="FF2196F3"/>
      <rgbColor rgb="FFD6E4F7"/>
      <rgbColor rgb="FFF2F2F2"/>
      <rgbColor rgb="FFF9F9F9"/>
      <rgbColor rgb="FFB3C992"/>
      <rgbColor rgb="FFD8AAA9"/>
      <rgbColor rgb="FF8064A2"/>
      <rgbColor rgb="FFC5D6AC"/>
      <rgbColor rgb="FF426FA6"/>
      <rgbColor rgb="FF4BACC6"/>
      <rgbColor rgb="FF9BBB59"/>
      <rgbColor rgb="FFC9A84C"/>
      <rgbColor rgb="FFF79646"/>
      <rgbColor rgb="FFDB8238"/>
      <rgbColor rgb="FF6F568D"/>
      <rgbColor rgb="FFA596B9"/>
      <rgbColor rgb="FF1F3864"/>
      <rgbColor rgb="FF3E8EA4"/>
      <rgbColor rgb="FF4F81BD"/>
      <rgbColor rgb="FF595959"/>
      <rgbColor rgb="FFC0392B"/>
      <rgbColor rgb="FFAA433F"/>
      <rgbColor rgb="FF4A235A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8" Type="http://schemas.microsoft.com/office/2017/10/relationships/person" Target="persons/person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7" Type="http://schemas.microsoft.com/office/2017/10/relationships/person" Target="persons/person1.xml"/><Relationship Id="rId2" Type="http://schemas.openxmlformats.org/officeDocument/2006/relationships/worksheet" Target="worksheets/sheet2.xml"/><Relationship Id="rId16" Type="http://schemas.microsoft.com/office/2017/10/relationships/person" Target="persons/pers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microsoft.com/office/2017/10/relationships/person" Target="persons/person0.xml"/><Relationship Id="rId10" Type="http://schemas.openxmlformats.org/officeDocument/2006/relationships/calcChain" Target="calcChain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976D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Liquidity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976D2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rgbClr val="0D47A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D47A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Dashboard!$C$6:$G$6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Dashboard!$C$7:$G$7</c:f>
              <c:numCache>
                <c:formatCode>0.00"x"</c:formatCode>
                <c:ptCount val="5"/>
                <c:pt idx="0">
                  <c:v>1.1375598061396719</c:v>
                </c:pt>
                <c:pt idx="1">
                  <c:v>1.1591795302846215</c:v>
                </c:pt>
                <c:pt idx="2">
                  <c:v>1.2267967360764098</c:v>
                </c:pt>
                <c:pt idx="3">
                  <c:v>1.4928713347113896</c:v>
                </c:pt>
                <c:pt idx="4">
                  <c:v>1.3648887258822999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C-4007-B41C-11B0381AAD82}"/>
            </c:ext>
          </c:extLst>
        </c:ser>
        <c:ser>
          <c:idx val="1"/>
          <c:order val="1"/>
          <c:tx>
            <c:strRef>
              <c:f>Dashboard!$B$8</c:f>
              <c:strCache>
                <c:ptCount val="1"/>
                <c:pt idx="0">
                  <c:v>Quick Ratio</c:v>
                </c:pt>
              </c:strCache>
            </c:strRef>
          </c:tx>
          <c:spPr>
            <a:ln w="28575" cap="rnd">
              <a:solidFill>
                <a:srgbClr val="1976D2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1976D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Dashboard!$C$6:$G$6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Dashboard!$C$8:$G$8</c:f>
              <c:numCache>
                <c:formatCode>0.00"x"</c:formatCode>
                <c:ptCount val="5"/>
                <c:pt idx="0">
                  <c:v>0.52785857149249005</c:v>
                </c:pt>
                <c:pt idx="1">
                  <c:v>0.62491909898843423</c:v>
                </c:pt>
                <c:pt idx="2">
                  <c:v>0.62081459998873212</c:v>
                </c:pt>
                <c:pt idx="3">
                  <c:v>0.6178997518736653</c:v>
                </c:pt>
                <c:pt idx="4">
                  <c:v>0.55490275051897908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1C-4007-B41C-11B0381AAD82}"/>
            </c:ext>
          </c:extLst>
        </c:ser>
        <c:ser>
          <c:idx val="2"/>
          <c:order val="2"/>
          <c:tx>
            <c:strRef>
              <c:f>Dashboard!$B$9</c:f>
              <c:strCache>
                <c:ptCount val="1"/>
                <c:pt idx="0">
                  <c:v>Cash Ratio</c:v>
                </c:pt>
              </c:strCache>
            </c:strRef>
          </c:tx>
          <c:spPr>
            <a:ln w="28575" cap="rnd">
              <a:solidFill>
                <a:srgbClr val="64B5F6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64B5F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Dashboard!$C$6:$G$6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Dashboard!$C$9:$G$9</c:f>
              <c:numCache>
                <c:formatCode>0.00"x"</c:formatCode>
                <c:ptCount val="5"/>
                <c:pt idx="0">
                  <c:v>0.11058314297321606</c:v>
                </c:pt>
                <c:pt idx="1">
                  <c:v>0.2148686630341701</c:v>
                </c:pt>
                <c:pt idx="2">
                  <c:v>0.17313516857023617</c:v>
                </c:pt>
                <c:pt idx="3">
                  <c:v>0.12117650655118857</c:v>
                </c:pt>
                <c:pt idx="4">
                  <c:v>8.8287082558415095E-2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1C-4007-B41C-11B0381AA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089839"/>
        <c:axId val="409088879"/>
      </c:lineChart>
      <c:catAx>
        <c:axId val="40908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88879"/>
        <c:crosses val="autoZero"/>
        <c:auto val="1"/>
        <c:lblAlgn val="ctr"/>
        <c:lblOffset val="100"/>
        <c:noMultiLvlLbl val="0"/>
      </c:catAx>
      <c:valAx>
        <c:axId val="409088879"/>
        <c:scaling>
          <c:orientation val="minMax"/>
        </c:scaling>
        <c:delete val="0"/>
        <c:axPos val="l"/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8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388E3C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Profitability Margins &amp;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388E3C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1B5E20"/>
            </a:solidFill>
            <a:ln>
              <a:noFill/>
            </a:ln>
            <a:effectLst/>
          </c:spPr>
          <c:invertIfNegative val="0"/>
          <c:cat>
            <c:strRef>
              <c:f>Dashboard!$L$6:$P$6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Dashboard!$L$7:$P$7</c:f>
              <c:numCache>
                <c:formatCode>0.0%</c:formatCode>
                <c:ptCount val="5"/>
                <c:pt idx="0">
                  <c:v>0.18290858035695748</c:v>
                </c:pt>
                <c:pt idx="1">
                  <c:v>0.18283598348290508</c:v>
                </c:pt>
                <c:pt idx="2">
                  <c:v>0.33742528318918658</c:v>
                </c:pt>
                <c:pt idx="3">
                  <c:v>0.28221566940919551</c:v>
                </c:pt>
                <c:pt idx="4">
                  <c:v>0.22872482830915308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2-4BC6-A7F1-EDE19BDFDB86}"/>
            </c:ext>
          </c:extLst>
        </c:ser>
        <c:ser>
          <c:idx val="1"/>
          <c:order val="1"/>
          <c:tx>
            <c:strRef>
              <c:f>Dashboard!$K$8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Dashboard!$L$6:$P$6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Dashboard!$L$8:$P$8</c:f>
              <c:numCache>
                <c:formatCode>0.0%</c:formatCode>
                <c:ptCount val="5"/>
                <c:pt idx="0">
                  <c:v>1.8899622653233753E-2</c:v>
                </c:pt>
                <c:pt idx="1">
                  <c:v>-9.5634822992247005E-3</c:v>
                </c:pt>
                <c:pt idx="2">
                  <c:v>0.19431723912510415</c:v>
                </c:pt>
                <c:pt idx="3">
                  <c:v>0.17321375854825852</c:v>
                </c:pt>
                <c:pt idx="4">
                  <c:v>9.5156258504568478E-2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2-4BC6-A7F1-EDE19BDFDB86}"/>
            </c:ext>
          </c:extLst>
        </c:ser>
        <c:ser>
          <c:idx val="2"/>
          <c:order val="2"/>
          <c:tx>
            <c:strRef>
              <c:f>Dashboard!$K$9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43A047"/>
            </a:solidFill>
            <a:ln>
              <a:noFill/>
            </a:ln>
            <a:effectLst/>
          </c:spPr>
          <c:invertIfNegative val="0"/>
          <c:cat>
            <c:strRef>
              <c:f>Dashboard!$L$6:$P$6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Dashboard!$L$9:$P$9</c:f>
              <c:numCache>
                <c:formatCode>0.0%</c:formatCode>
                <c:ptCount val="5"/>
                <c:pt idx="0">
                  <c:v>-8.8322046025371987E-3</c:v>
                </c:pt>
                <c:pt idx="1">
                  <c:v>3.8882004668879732E-3</c:v>
                </c:pt>
                <c:pt idx="2">
                  <c:v>9.7651516094939536E-2</c:v>
                </c:pt>
                <c:pt idx="3">
                  <c:v>0.13836467692821172</c:v>
                </c:pt>
                <c:pt idx="4">
                  <c:v>3.3227574986624618E-2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2-4BC6-A7F1-EDE19BDFDB86}"/>
            </c:ext>
          </c:extLst>
        </c:ser>
        <c:ser>
          <c:idx val="3"/>
          <c:order val="3"/>
          <c:tx>
            <c:strRef>
              <c:f>Dashboard!$K$10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solidFill>
              <a:srgbClr val="66BB6A"/>
            </a:solidFill>
            <a:ln>
              <a:noFill/>
            </a:ln>
            <a:effectLst/>
          </c:spPr>
          <c:invertIfNegative val="0"/>
          <c:cat>
            <c:strRef>
              <c:f>Dashboard!$L$6:$P$6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Dashboard!$L$10:$P$10</c:f>
              <c:numCache>
                <c:formatCode>0.0%</c:formatCode>
                <c:ptCount val="5"/>
                <c:pt idx="0">
                  <c:v>-6.8136986348701903E-3</c:v>
                </c:pt>
                <c:pt idx="1">
                  <c:v>2.7109229223982231E-3</c:v>
                </c:pt>
                <c:pt idx="2">
                  <c:v>8.6688078306415284E-2</c:v>
                </c:pt>
                <c:pt idx="3">
                  <c:v>0.11867112178451868</c:v>
                </c:pt>
                <c:pt idx="4">
                  <c:v>3.0373211891018853E-2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E2-4BC6-A7F1-EDE19BDFDB86}"/>
            </c:ext>
          </c:extLst>
        </c:ser>
        <c:ser>
          <c:idx val="4"/>
          <c:order val="4"/>
          <c:tx>
            <c:strRef>
              <c:f>Dashboard!$K$11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solidFill>
              <a:srgbClr val="A5D6A7"/>
            </a:solidFill>
            <a:ln>
              <a:noFill/>
            </a:ln>
            <a:effectLst/>
          </c:spPr>
          <c:invertIfNegative val="0"/>
          <c:cat>
            <c:strRef>
              <c:f>Dashboard!$L$6:$P$6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Dashboard!$L$11:$P$11</c:f>
              <c:numCache>
                <c:formatCode>0.0%</c:formatCode>
                <c:ptCount val="5"/>
                <c:pt idx="0">
                  <c:v>-2.4110659656489224E-2</c:v>
                </c:pt>
                <c:pt idx="1">
                  <c:v>-1.7305974735453034E-3</c:v>
                </c:pt>
                <c:pt idx="2">
                  <c:v>0.20420162644989884</c:v>
                </c:pt>
                <c:pt idx="3">
                  <c:v>0.23840162951160054</c:v>
                </c:pt>
                <c:pt idx="4">
                  <c:v>6.1359018290166323E-2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E2-4BC6-A7F1-EDE19BDFD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037999"/>
        <c:axId val="409041359"/>
      </c:barChart>
      <c:catAx>
        <c:axId val="4090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1359"/>
        <c:crosses val="autoZero"/>
        <c:auto val="1"/>
        <c:lblAlgn val="ctr"/>
        <c:lblOffset val="100"/>
        <c:noMultiLvlLbl val="0"/>
      </c:catAx>
      <c:valAx>
        <c:axId val="40904135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E67E2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Capital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E67E22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Debt-to-Equity</c:v>
                </c:pt>
              </c:strCache>
            </c:strRef>
          </c:tx>
          <c:spPr>
            <a:solidFill>
              <a:srgbClr val="BF360C"/>
            </a:solidFill>
            <a:ln>
              <a:noFill/>
            </a:ln>
            <a:effectLst/>
          </c:spPr>
          <c:invertIfNegative val="0"/>
          <c:cat>
            <c:strRef>
              <c:f>Dashboard!$C$25:$G$25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Dashboard!$C$26:$G$26</c:f>
              <c:numCache>
                <c:formatCode>0.00"x"</c:formatCode>
                <c:ptCount val="5"/>
                <c:pt idx="0">
                  <c:v>1.2195507353549262</c:v>
                </c:pt>
                <c:pt idx="1">
                  <c:v>1.4708538611904598</c:v>
                </c:pt>
                <c:pt idx="2">
                  <c:v>1.4120082014114144</c:v>
                </c:pt>
                <c:pt idx="3">
                  <c:v>1.0088565459381591</c:v>
                </c:pt>
                <c:pt idx="4">
                  <c:v>1.0792588762960835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2-4EF8-A18E-8E53CA09F9F3}"/>
            </c:ext>
          </c:extLst>
        </c:ser>
        <c:ser>
          <c:idx val="1"/>
          <c:order val="1"/>
          <c:tx>
            <c:strRef>
              <c:f>Dashboard!$B$27</c:f>
              <c:strCache>
                <c:ptCount val="1"/>
                <c:pt idx="0">
                  <c:v>Debt-to-Assets</c:v>
                </c:pt>
              </c:strCache>
            </c:strRef>
          </c:tx>
          <c:spPr>
            <a:solidFill>
              <a:srgbClr val="E67E22"/>
            </a:solidFill>
            <a:ln>
              <a:noFill/>
            </a:ln>
            <a:effectLst/>
          </c:spPr>
          <c:invertIfNegative val="0"/>
          <c:cat>
            <c:strRef>
              <c:f>Dashboard!$C$25:$G$25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Dashboard!$C$27:$G$27</c:f>
              <c:numCache>
                <c:formatCode>0.0%</c:formatCode>
                <c:ptCount val="5"/>
                <c:pt idx="0">
                  <c:v>0.54945837278187248</c:v>
                </c:pt>
                <c:pt idx="1">
                  <c:v>0.595281608634596</c:v>
                </c:pt>
                <c:pt idx="2">
                  <c:v>0.58540771154308746</c:v>
                </c:pt>
                <c:pt idx="3">
                  <c:v>0.50220437491070902</c:v>
                </c:pt>
                <c:pt idx="4">
                  <c:v>0.5190594055409955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2-4EF8-A18E-8E53CA09F9F3}"/>
            </c:ext>
          </c:extLst>
        </c:ser>
        <c:ser>
          <c:idx val="2"/>
          <c:order val="2"/>
          <c:tx>
            <c:strRef>
              <c:f>Dashboard!$B$28</c:f>
              <c:strCache>
                <c:ptCount val="1"/>
                <c:pt idx="0">
                  <c:v>Equity Ratio</c:v>
                </c:pt>
              </c:strCache>
            </c:strRef>
          </c:tx>
          <c:spPr>
            <a:solidFill>
              <a:srgbClr val="FFB74D"/>
            </a:solidFill>
            <a:ln>
              <a:noFill/>
            </a:ln>
            <a:effectLst/>
          </c:spPr>
          <c:invertIfNegative val="0"/>
          <c:cat>
            <c:strRef>
              <c:f>Dashboard!$C$25:$G$25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Dashboard!$C$28:$G$28</c:f>
              <c:numCache>
                <c:formatCode>0.0%</c:formatCode>
                <c:ptCount val="5"/>
                <c:pt idx="0">
                  <c:v>0.45054162721812757</c:v>
                </c:pt>
                <c:pt idx="1">
                  <c:v>0.40471839136540394</c:v>
                </c:pt>
                <c:pt idx="2">
                  <c:v>0.41459228845691259</c:v>
                </c:pt>
                <c:pt idx="3">
                  <c:v>0.49779562508929104</c:v>
                </c:pt>
                <c:pt idx="4">
                  <c:v>0.48094059445900444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52-4EF8-A18E-8E53CA09F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034639"/>
        <c:axId val="409036559"/>
      </c:barChart>
      <c:catAx>
        <c:axId val="40903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36559"/>
        <c:crosses val="autoZero"/>
        <c:auto val="1"/>
        <c:lblAlgn val="ctr"/>
        <c:lblOffset val="100"/>
        <c:noMultiLvlLbl val="0"/>
      </c:catAx>
      <c:valAx>
        <c:axId val="409036559"/>
        <c:scaling>
          <c:orientation val="minMax"/>
        </c:scaling>
        <c:delete val="0"/>
        <c:axPos val="l"/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3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897B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Cash Flow Quality &amp; FCF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897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Dashboard!$K$28</c:f>
              <c:strCache>
                <c:ptCount val="1"/>
                <c:pt idx="0">
                  <c:v>Free Cash Flow (EGP M)</c:v>
                </c:pt>
              </c:strCache>
            </c:strRef>
          </c:tx>
          <c:spPr>
            <a:solidFill>
              <a:srgbClr val="80CBC4"/>
            </a:solidFill>
            <a:ln>
              <a:noFill/>
            </a:ln>
            <a:effectLst/>
          </c:spPr>
          <c:invertIfNegative val="0"/>
          <c:cat>
            <c:strRef>
              <c:f>Dashboard!$L$25:$P$25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Dashboard!$L$28:$P$28</c:f>
              <c:numCache>
                <c:formatCode>#,##0;\(#,##0\);\-</c:formatCode>
                <c:ptCount val="5"/>
                <c:pt idx="0">
                  <c:v>-70.058138</c:v>
                </c:pt>
                <c:pt idx="1">
                  <c:v>21.590451000000002</c:v>
                </c:pt>
                <c:pt idx="2">
                  <c:v>-127.16037900000001</c:v>
                </c:pt>
                <c:pt idx="3">
                  <c:v>252.11647500000001</c:v>
                </c:pt>
                <c:pt idx="4">
                  <c:v>-662.73742200000004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F-4D4E-BA84-10D3DC5F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048079"/>
        <c:axId val="409030799"/>
      </c:barChart>
      <c:lineChart>
        <c:grouping val="standard"/>
        <c:varyColors val="0"/>
        <c:ser>
          <c:idx val="0"/>
          <c:order val="0"/>
          <c:tx>
            <c:strRef>
              <c:f>Dashboard!$K$26</c:f>
              <c:strCache>
                <c:ptCount val="1"/>
                <c:pt idx="0">
                  <c:v>OCF Margin</c:v>
                </c:pt>
              </c:strCache>
            </c:strRef>
          </c:tx>
          <c:spPr>
            <a:ln w="28575" cap="rnd">
              <a:solidFill>
                <a:srgbClr val="004D4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Dashboard!$L$25:$P$25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Dashboard!$L$26:$P$26</c:f>
              <c:numCache>
                <c:formatCode>0.0%</c:formatCode>
                <c:ptCount val="5"/>
                <c:pt idx="0">
                  <c:v>-1.7899377682900424E-3</c:v>
                </c:pt>
                <c:pt idx="1">
                  <c:v>3.8292485486827524E-2</c:v>
                </c:pt>
                <c:pt idx="2">
                  <c:v>2.8340282372088452E-2</c:v>
                </c:pt>
                <c:pt idx="3">
                  <c:v>8.0827851992381114E-2</c:v>
                </c:pt>
                <c:pt idx="4">
                  <c:v>-2.5113249523849756E-2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F-4D4E-BA84-10D3DC5FB9F3}"/>
            </c:ext>
          </c:extLst>
        </c:ser>
        <c:ser>
          <c:idx val="1"/>
          <c:order val="1"/>
          <c:tx>
            <c:strRef>
              <c:f>Dashboard!$K$27</c:f>
              <c:strCache>
                <c:ptCount val="1"/>
                <c:pt idx="0">
                  <c:v>CapEx Coverage</c:v>
                </c:pt>
              </c:strCache>
            </c:strRef>
          </c:tx>
          <c:spPr>
            <a:ln w="28575" cap="rnd">
              <a:solidFill>
                <a:srgbClr val="00897B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Dashboard!$L$25:$P$25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Dashboard!$L$27:$P$27</c:f>
              <c:numCache>
                <c:formatCode>0.00"x"</c:formatCode>
                <c:ptCount val="5"/>
                <c:pt idx="0">
                  <c:v>-7.2393719720355271E-2</c:v>
                </c:pt>
                <c:pt idx="1">
                  <c:v>1.2080587999083752</c:v>
                </c:pt>
                <c:pt idx="2">
                  <c:v>0.51907954140853685</c:v>
                </c:pt>
                <c:pt idx="3">
                  <c:v>1.8847453969505097</c:v>
                </c:pt>
                <c:pt idx="4">
                  <c:v>-0.41986209651970169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F-4D4E-BA84-10D3DC5F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028399"/>
        <c:axId val="409032719"/>
      </c:lineChart>
      <c:catAx>
        <c:axId val="40902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32719"/>
        <c:crosses val="autoZero"/>
        <c:auto val="1"/>
        <c:lblAlgn val="ctr"/>
        <c:lblOffset val="100"/>
        <c:noMultiLvlLbl val="0"/>
      </c:catAx>
      <c:valAx>
        <c:axId val="4090327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28399"/>
        <c:crosses val="autoZero"/>
        <c:crossBetween val="between"/>
      </c:valAx>
      <c:valAx>
        <c:axId val="409030799"/>
        <c:scaling>
          <c:orientation val="minMax"/>
        </c:scaling>
        <c:delete val="0"/>
        <c:axPos val="r"/>
        <c:numFmt formatCode="#,##0;\(#,##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8079"/>
        <c:crosses val="max"/>
        <c:crossBetween val="between"/>
      </c:valAx>
      <c:catAx>
        <c:axId val="409048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9030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7B1FA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Earnings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7B1FA2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Dashboard!$B$45</c:f>
              <c:strCache>
                <c:ptCount val="1"/>
                <c:pt idx="0">
                  <c:v>Cash Realization (OCF/NI)</c:v>
                </c:pt>
              </c:strCache>
            </c:strRef>
          </c:tx>
          <c:spPr>
            <a:solidFill>
              <a:srgbClr val="7B1FA2"/>
            </a:solidFill>
            <a:ln>
              <a:noFill/>
            </a:ln>
            <a:effectLst/>
          </c:spPr>
          <c:invertIfNegative val="0"/>
          <c:cat>
            <c:strRef>
              <c:f>Dashboard!$C$44:$G$44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Dashboard!$C$45:$G$45</c:f>
              <c:numCache>
                <c:formatCode>0.00"x"</c:formatCode>
                <c:ptCount val="5"/>
                <c:pt idx="0">
                  <c:v>0.20266036044679636</c:v>
                </c:pt>
                <c:pt idx="1">
                  <c:v>9.8483825134345366</c:v>
                </c:pt>
                <c:pt idx="2">
                  <c:v>0.290218559889385</c:v>
                </c:pt>
                <c:pt idx="3">
                  <c:v>0.58416536493860594</c:v>
                </c:pt>
                <c:pt idx="4">
                  <c:v>-0.75579543598829613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5-4C69-80E4-02CE17136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085999"/>
        <c:axId val="409084559"/>
      </c:barChart>
      <c:lineChart>
        <c:grouping val="standard"/>
        <c:varyColors val="0"/>
        <c:ser>
          <c:idx val="1"/>
          <c:order val="1"/>
          <c:tx>
            <c:strRef>
              <c:f>Dashboard!$B$46</c:f>
              <c:strCache>
                <c:ptCount val="1"/>
                <c:pt idx="0">
                  <c:v>CF Accruals Ratio</c:v>
                </c:pt>
              </c:strCache>
            </c:strRef>
          </c:tx>
          <c:spPr>
            <a:ln w="28575" cap="rnd">
              <a:solidFill>
                <a:srgbClr val="AB47B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Dashboard!$C$44:$G$44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Dashboard!$C$46:$G$46</c:f>
              <c:numCache>
                <c:formatCode>0.0%</c:formatCode>
                <c:ptCount val="5"/>
                <c:pt idx="0">
                  <c:v>1.3707283883805271E-2</c:v>
                </c:pt>
                <c:pt idx="1">
                  <c:v>-6.2876077442270842E-3</c:v>
                </c:pt>
                <c:pt idx="2">
                  <c:v>0.11244919531186835</c:v>
                </c:pt>
                <c:pt idx="3">
                  <c:v>7.8716870945432477E-2</c:v>
                </c:pt>
                <c:pt idx="4">
                  <c:v>0.11324136915171532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5-4C69-80E4-02CE171363A0}"/>
            </c:ext>
          </c:extLst>
        </c:ser>
        <c:ser>
          <c:idx val="2"/>
          <c:order val="2"/>
          <c:tx>
            <c:strRef>
              <c:f>Dashboard!$B$47</c:f>
              <c:strCache>
                <c:ptCount val="1"/>
                <c:pt idx="0">
                  <c:v>BS Accruals Ratio</c:v>
                </c:pt>
              </c:strCache>
            </c:strRef>
          </c:tx>
          <c:spPr>
            <a:ln w="28575" cap="rnd">
              <a:solidFill>
                <a:srgbClr val="CE93D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Dashboard!$C$44:$G$44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Dashboard!$C$47:$G$47</c:f>
              <c:numCache>
                <c:formatCode>0.0%</c:formatCode>
                <c:ptCount val="5"/>
                <c:pt idx="0">
                  <c:v>0.10717030408791195</c:v>
                </c:pt>
                <c:pt idx="1">
                  <c:v>0.20512259600349861</c:v>
                </c:pt>
                <c:pt idx="2">
                  <c:v>0.17991313294921771</c:v>
                </c:pt>
                <c:pt idx="3">
                  <c:v>0.29688725157530405</c:v>
                </c:pt>
                <c:pt idx="4">
                  <c:v>0.15843594667003738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E5-4C69-80E4-02CE17136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043759"/>
        <c:axId val="409044719"/>
      </c:lineChart>
      <c:catAx>
        <c:axId val="40904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4719"/>
        <c:crosses val="autoZero"/>
        <c:auto val="1"/>
        <c:lblAlgn val="ctr"/>
        <c:lblOffset val="100"/>
        <c:noMultiLvlLbl val="0"/>
      </c:catAx>
      <c:valAx>
        <c:axId val="4090447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3759"/>
        <c:crosses val="autoZero"/>
        <c:crossBetween val="between"/>
      </c:valAx>
      <c:valAx>
        <c:axId val="409084559"/>
        <c:scaling>
          <c:orientation val="minMax"/>
        </c:scaling>
        <c:delete val="0"/>
        <c:axPos val="r"/>
        <c:numFmt formatCode="0.00&quot;x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85999"/>
        <c:crosses val="max"/>
        <c:crossBetween val="between"/>
      </c:valAx>
      <c:catAx>
        <c:axId val="409085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9084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546E7A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Cash Flow Breakdown by Activity (EGP 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546E7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Dashboard!$K$45</c:f>
              <c:strCache>
                <c:ptCount val="1"/>
                <c:pt idx="0">
                  <c:v>Operating (OCF)</c:v>
                </c:pt>
              </c:strCache>
            </c:strRef>
          </c:tx>
          <c:spPr>
            <a:solidFill>
              <a:srgbClr val="A8D5BA"/>
            </a:solidFill>
            <a:ln>
              <a:noFill/>
            </a:ln>
            <a:effectLst/>
          </c:spPr>
          <c:invertIfNegative val="0"/>
          <c:dLbls>
            <c:numFmt formatCode="#,##0;\(#,##0\);\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2E5D3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Dashboard!$L$44:$P$44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Dashboard!$L$45:$P$45</c:f>
              <c:numCache>
                <c:formatCode>#,##0;\(#,##0\);\-</c:formatCode>
                <c:ptCount val="5"/>
                <c:pt idx="0">
                  <c:v>-4.7293909999999997</c:v>
                </c:pt>
                <c:pt idx="1">
                  <c:v>125.361361</c:v>
                </c:pt>
                <c:pt idx="2">
                  <c:v>137.25003799999999</c:v>
                </c:pt>
                <c:pt idx="3">
                  <c:v>537.075827</c:v>
                </c:pt>
                <c:pt idx="4">
                  <c:v>-195.97559799999999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C-45CB-95D1-9CC331A22FF6}"/>
            </c:ext>
          </c:extLst>
        </c:ser>
        <c:ser>
          <c:idx val="1"/>
          <c:order val="1"/>
          <c:tx>
            <c:strRef>
              <c:f>Dashboard!$K$46</c:f>
              <c:strCache>
                <c:ptCount val="1"/>
                <c:pt idx="0">
                  <c:v>Investing (ICF)</c:v>
                </c:pt>
              </c:strCache>
            </c:strRef>
          </c:tx>
          <c:spPr>
            <a:solidFill>
              <a:srgbClr val="F4B6B6"/>
            </a:solidFill>
            <a:ln>
              <a:noFill/>
            </a:ln>
            <a:effectLst/>
          </c:spPr>
          <c:invertIfNegative val="0"/>
          <c:dLbls>
            <c:numFmt formatCode="#,##0;\(#,##0\);\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8B3A3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Dashboard!$L$44:$P$44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Dashboard!$L$46:$P$46</c:f>
              <c:numCache>
                <c:formatCode>#,##0;\(#,##0\);\-</c:formatCode>
                <c:ptCount val="5"/>
                <c:pt idx="0">
                  <c:v>-64.374740000000003</c:v>
                </c:pt>
                <c:pt idx="1">
                  <c:v>-87.103153000000006</c:v>
                </c:pt>
                <c:pt idx="2">
                  <c:v>-235.06152399999999</c:v>
                </c:pt>
                <c:pt idx="3">
                  <c:v>-137.32711399999999</c:v>
                </c:pt>
                <c:pt idx="4">
                  <c:v>-466.76182399999999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C-45CB-95D1-9CC331A22FF6}"/>
            </c:ext>
          </c:extLst>
        </c:ser>
        <c:ser>
          <c:idx val="2"/>
          <c:order val="2"/>
          <c:tx>
            <c:strRef>
              <c:f>Dashboard!$K$47</c:f>
              <c:strCache>
                <c:ptCount val="1"/>
                <c:pt idx="0">
                  <c:v>Financing (FCF)</c:v>
                </c:pt>
              </c:strCache>
            </c:strRef>
          </c:tx>
          <c:spPr>
            <a:solidFill>
              <a:srgbClr val="A8C8E1"/>
            </a:solidFill>
            <a:ln>
              <a:noFill/>
            </a:ln>
            <a:effectLst/>
          </c:spPr>
          <c:invertIfNegative val="0"/>
          <c:dLbls>
            <c:numFmt formatCode="#,##0;\(#,##0\);\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2C5A7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Dashboard!$L$44:$P$44</c:f>
              <c:strCache>
                <c:ptCount val="5"/>
                <c:pt idx="0">
                  <c:v>FY-21</c:v>
                </c:pt>
                <c:pt idx="1">
                  <c:v>FY-22</c:v>
                </c:pt>
                <c:pt idx="2">
                  <c:v>FY-23</c:v>
                </c:pt>
                <c:pt idx="3">
                  <c:v>FY-24</c:v>
                </c:pt>
                <c:pt idx="4">
                  <c:v>FY-25</c:v>
                </c:pt>
              </c:strCache>
            </c:strRef>
          </c:cat>
          <c:val>
            <c:numRef>
              <c:f>Dashboard!$L$47:$P$47</c:f>
              <c:numCache>
                <c:formatCode>#,##0;\(#,##0\);\-</c:formatCode>
                <c:ptCount val="5"/>
                <c:pt idx="0">
                  <c:v>120.391345</c:v>
                </c:pt>
                <c:pt idx="1">
                  <c:v>282.58906500000001</c:v>
                </c:pt>
                <c:pt idx="2">
                  <c:v>86.117470999999995</c:v>
                </c:pt>
                <c:pt idx="3">
                  <c:v>-503.78451200000001</c:v>
                </c:pt>
                <c:pt idx="4">
                  <c:v>624.45385299999998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C-45CB-95D1-9CC331A22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47503"/>
        <c:axId val="188045583"/>
      </c:barChart>
      <c:catAx>
        <c:axId val="18804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5583"/>
        <c:crosses val="autoZero"/>
        <c:auto val="1"/>
        <c:lblAlgn val="ctr"/>
        <c:lblOffset val="100"/>
        <c:noMultiLvlLbl val="0"/>
      </c:catAx>
      <c:valAx>
        <c:axId val="188045583"/>
        <c:scaling>
          <c:orientation val="minMax"/>
        </c:scaling>
        <c:delete val="0"/>
        <c:axPos val="l"/>
        <c:numFmt formatCode="#,##0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175259</xdr:colOff>
      <xdr:row>8</xdr:row>
      <xdr:rowOff>251459</xdr:rowOff>
    </xdr:from>
    <xdr:to>
      <xdr:col>6</xdr:col>
      <xdr:colOff>990599</xdr:colOff>
      <xdr:row>21</xdr:row>
      <xdr:rowOff>251459</xdr:rowOff>
    </xdr:to>
    <xdr:graphicFrame macro="">
      <xdr:nvGraphicFramePr>
        <xdr:cNvPr id="16" name="LiquidityChart">
          <a:extLst>
            <a:ext uri="{FF2B5EF4-FFF2-40B4-BE49-F238E27FC236}">
              <a16:creationId xmlns:a16="http://schemas.microsoft.com/office/drawing/2014/main" id="{80EB0AD1-1AE3-5A2E-FF15-3249A4D05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145815</xdr:colOff>
      <xdr:row>10</xdr:row>
      <xdr:rowOff>6866</xdr:rowOff>
    </xdr:from>
    <xdr:to>
      <xdr:col>17</xdr:col>
      <xdr:colOff>275637</xdr:colOff>
      <xdr:row>23</xdr:row>
      <xdr:rowOff>6866</xdr:rowOff>
    </xdr:to>
    <xdr:graphicFrame macro="">
      <xdr:nvGraphicFramePr>
        <xdr:cNvPr id="17" name="ProfitabilityChart">
          <a:extLst>
            <a:ext uri="{FF2B5EF4-FFF2-40B4-BE49-F238E27FC236}">
              <a16:creationId xmlns:a16="http://schemas.microsoft.com/office/drawing/2014/main" id="{8ED26405-15BE-BAA7-D5E5-C32F0B382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175259</xdr:colOff>
      <xdr:row>27</xdr:row>
      <xdr:rowOff>251459</xdr:rowOff>
    </xdr:from>
    <xdr:to>
      <xdr:col>6</xdr:col>
      <xdr:colOff>990599</xdr:colOff>
      <xdr:row>40</xdr:row>
      <xdr:rowOff>251459</xdr:rowOff>
    </xdr:to>
    <xdr:graphicFrame macro="">
      <xdr:nvGraphicFramePr>
        <xdr:cNvPr id="18" name="SolvencyChart">
          <a:extLst>
            <a:ext uri="{FF2B5EF4-FFF2-40B4-BE49-F238E27FC236}">
              <a16:creationId xmlns:a16="http://schemas.microsoft.com/office/drawing/2014/main" id="{A71281AC-9B7D-B02F-8F27-2C3C804D0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11204</xdr:colOff>
      <xdr:row>28</xdr:row>
      <xdr:rowOff>27341</xdr:rowOff>
    </xdr:from>
    <xdr:to>
      <xdr:col>17</xdr:col>
      <xdr:colOff>351863</xdr:colOff>
      <xdr:row>41</xdr:row>
      <xdr:rowOff>27341</xdr:rowOff>
    </xdr:to>
    <xdr:graphicFrame macro="">
      <xdr:nvGraphicFramePr>
        <xdr:cNvPr id="19" name="CashFlowChart">
          <a:extLst>
            <a:ext uri="{FF2B5EF4-FFF2-40B4-BE49-F238E27FC236}">
              <a16:creationId xmlns:a16="http://schemas.microsoft.com/office/drawing/2014/main" id="{49135F51-0F23-7284-D963-EF022BAD3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175259</xdr:colOff>
      <xdr:row>46</xdr:row>
      <xdr:rowOff>251459</xdr:rowOff>
    </xdr:from>
    <xdr:to>
      <xdr:col>6</xdr:col>
      <xdr:colOff>990599</xdr:colOff>
      <xdr:row>59</xdr:row>
      <xdr:rowOff>251459</xdr:rowOff>
    </xdr:to>
    <xdr:graphicFrame macro="">
      <xdr:nvGraphicFramePr>
        <xdr:cNvPr id="20" name="EarningsQualityChart">
          <a:extLst>
            <a:ext uri="{FF2B5EF4-FFF2-40B4-BE49-F238E27FC236}">
              <a16:creationId xmlns:a16="http://schemas.microsoft.com/office/drawing/2014/main" id="{D56C926F-7828-CCAE-FE1A-634367A95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145675</xdr:colOff>
      <xdr:row>47</xdr:row>
      <xdr:rowOff>33618</xdr:rowOff>
    </xdr:from>
    <xdr:to>
      <xdr:col>18</xdr:col>
      <xdr:colOff>0</xdr:colOff>
      <xdr:row>60</xdr:row>
      <xdr:rowOff>33618</xdr:rowOff>
    </xdr:to>
    <xdr:graphicFrame macro="">
      <xdr:nvGraphicFramePr>
        <xdr:cNvPr id="22" name="CashFlowBreakdownChart">
          <a:extLst>
            <a:ext uri="{FF2B5EF4-FFF2-40B4-BE49-F238E27FC236}">
              <a16:creationId xmlns:a16="http://schemas.microsoft.com/office/drawing/2014/main" id="{A0245181-B9BE-1ED8-0A64-69E685B21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F18476-427C-474F-8A02-4C6371DCF5E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14ea25f-887c-4699-8a28-b289e9a97e6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1139-7BAD-4CE7-BD64-1B35D5309FB3}">
  <sheetPr>
    <tabColor rgb="FF1F3864"/>
  </sheetPr>
  <dimension ref="B1:R200"/>
  <sheetViews>
    <sheetView zoomScale="68" zoomScaleNormal="85" workbookViewId="0">
      <pane ySplit="3" topLeftCell="A4" activePane="bottomLeft" state="frozen"/>
      <selection pane="bottomLeft" activeCell="U23" sqref="U23"/>
    </sheetView>
  </sheetViews>
  <sheetFormatPr defaultRowHeight="14.4" x14ac:dyDescent="0.3"/>
  <cols>
    <col min="1" max="1" width="2.5546875" style="42" customWidth="1"/>
    <col min="2" max="2" width="33.33203125" style="42" customWidth="1"/>
    <col min="3" max="7" width="14.44140625" style="42" customWidth="1"/>
    <col min="8" max="8" width="13" style="42" customWidth="1"/>
    <col min="9" max="9" width="7.44140625" style="42" customWidth="1"/>
    <col min="10" max="10" width="3" style="42" customWidth="1"/>
    <col min="11" max="11" width="18.5546875" style="42" customWidth="1"/>
    <col min="12" max="16" width="14.44140625" style="42" customWidth="1"/>
    <col min="17" max="17" width="13" style="42" customWidth="1"/>
    <col min="18" max="18" width="7.44140625" style="42" customWidth="1"/>
    <col min="19" max="19" width="2.5546875" style="42" customWidth="1"/>
    <col min="20" max="26" width="17.5546875" style="42" customWidth="1"/>
    <col min="27" max="16384" width="8.88671875" style="42"/>
  </cols>
  <sheetData>
    <row r="1" spans="2:18" ht="19.95" customHeight="1" x14ac:dyDescent="0.3"/>
    <row r="2" spans="2:18" ht="19.95" customHeight="1" x14ac:dyDescent="0.5">
      <c r="B2" s="139" t="s">
        <v>219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2:18" ht="19.95" customHeight="1" x14ac:dyDescent="0.3">
      <c r="B3" s="273" t="s">
        <v>287</v>
      </c>
      <c r="C3"/>
    </row>
    <row r="4" spans="2:18" ht="19.95" customHeight="1" x14ac:dyDescent="0.3"/>
    <row r="5" spans="2:18" ht="19.95" customHeight="1" x14ac:dyDescent="0.35">
      <c r="B5" s="140" t="s">
        <v>224</v>
      </c>
      <c r="C5" s="141"/>
      <c r="D5" s="141"/>
      <c r="E5" s="141"/>
      <c r="F5" s="141"/>
      <c r="G5" s="141"/>
      <c r="K5" s="143" t="s">
        <v>230</v>
      </c>
      <c r="L5" s="144"/>
      <c r="M5" s="144"/>
      <c r="N5" s="144"/>
      <c r="O5" s="144"/>
      <c r="P5" s="144"/>
    </row>
    <row r="6" spans="2:18" ht="19.95" customHeight="1" thickBot="1" x14ac:dyDescent="0.35">
      <c r="B6" s="152" t="s">
        <v>197</v>
      </c>
      <c r="C6" s="153" t="s">
        <v>225</v>
      </c>
      <c r="D6" s="153" t="s">
        <v>226</v>
      </c>
      <c r="E6" s="153" t="s">
        <v>227</v>
      </c>
      <c r="F6" s="153" t="s">
        <v>228</v>
      </c>
      <c r="G6" s="153" t="s">
        <v>229</v>
      </c>
      <c r="H6" s="142" t="s">
        <v>251</v>
      </c>
      <c r="I6" s="142"/>
      <c r="J6" s="275"/>
      <c r="K6" s="160" t="s">
        <v>197</v>
      </c>
      <c r="L6" s="161" t="s">
        <v>225</v>
      </c>
      <c r="M6" s="161" t="s">
        <v>226</v>
      </c>
      <c r="N6" s="161" t="s">
        <v>227</v>
      </c>
      <c r="O6" s="161" t="s">
        <v>228</v>
      </c>
      <c r="P6" s="161" t="s">
        <v>229</v>
      </c>
      <c r="Q6" s="145" t="s">
        <v>251</v>
      </c>
      <c r="R6" s="145"/>
    </row>
    <row r="7" spans="2:18" ht="19.95" customHeight="1" x14ac:dyDescent="0.3">
      <c r="B7" s="150" t="s">
        <v>107</v>
      </c>
      <c r="C7" s="151">
        <f>'Ratio Analysis'!F13</f>
        <v>1.1375598061396719</v>
      </c>
      <c r="D7" s="151">
        <f>'Ratio Analysis'!K13</f>
        <v>1.1591795302846215</v>
      </c>
      <c r="E7" s="151">
        <f>'Ratio Analysis'!P13</f>
        <v>1.2267967360764098</v>
      </c>
      <c r="F7" s="151">
        <f>'Ratio Analysis'!U13</f>
        <v>1.4928713347113896</v>
      </c>
      <c r="G7" s="151">
        <f>'Ratio Analysis'!Z13</f>
        <v>1.3648887258822999</v>
      </c>
      <c r="H7" s="233">
        <f>G7-F7</f>
        <v>-0.12798260882908963</v>
      </c>
      <c r="I7" s="233"/>
      <c r="J7" s="233"/>
      <c r="K7" s="158" t="s">
        <v>11</v>
      </c>
      <c r="L7" s="159">
        <f>'Ratio Analysis'!F6</f>
        <v>0.18290858035695748</v>
      </c>
      <c r="M7" s="159">
        <f>'Ratio Analysis'!K6</f>
        <v>0.18283598348290508</v>
      </c>
      <c r="N7" s="159">
        <f>'Ratio Analysis'!P6</f>
        <v>0.33742528318918658</v>
      </c>
      <c r="O7" s="159">
        <f>'Ratio Analysis'!U6</f>
        <v>0.28221566940919551</v>
      </c>
      <c r="P7" s="159">
        <f>'Ratio Analysis'!Z6</f>
        <v>0.22872482830915308</v>
      </c>
      <c r="Q7" s="235">
        <f>P7-O7</f>
        <v>-5.349084110004243E-2</v>
      </c>
      <c r="R7" s="235"/>
    </row>
    <row r="8" spans="2:18" ht="19.95" customHeight="1" x14ac:dyDescent="0.3">
      <c r="B8" s="148" t="s">
        <v>108</v>
      </c>
      <c r="C8" s="149">
        <f>'Ratio Analysis'!F14</f>
        <v>0.52785857149249005</v>
      </c>
      <c r="D8" s="149">
        <f>'Ratio Analysis'!K14</f>
        <v>0.62491909898843423</v>
      </c>
      <c r="E8" s="149">
        <f>'Ratio Analysis'!P14</f>
        <v>0.62081459998873212</v>
      </c>
      <c r="F8" s="149">
        <f>'Ratio Analysis'!U14</f>
        <v>0.6178997518736653</v>
      </c>
      <c r="G8" s="149">
        <f>'Ratio Analysis'!Z14</f>
        <v>0.55490275051897908</v>
      </c>
      <c r="H8" s="234">
        <f>G8-F8</f>
        <v>-6.2997001354686222E-2</v>
      </c>
      <c r="I8" s="234"/>
      <c r="J8" s="233"/>
      <c r="K8" s="156" t="s">
        <v>101</v>
      </c>
      <c r="L8" s="157">
        <f>'Ratio Analysis'!F7</f>
        <v>1.8899622653233753E-2</v>
      </c>
      <c r="M8" s="157">
        <f>'Ratio Analysis'!K7</f>
        <v>-9.5634822992247005E-3</v>
      </c>
      <c r="N8" s="157">
        <f>'Ratio Analysis'!P7</f>
        <v>0.19431723912510415</v>
      </c>
      <c r="O8" s="157">
        <f>'Ratio Analysis'!U7</f>
        <v>0.17321375854825852</v>
      </c>
      <c r="P8" s="157">
        <f>'Ratio Analysis'!Z7</f>
        <v>9.5156258504568478E-2</v>
      </c>
      <c r="Q8" s="236">
        <f>P8-O8</f>
        <v>-7.805750004369004E-2</v>
      </c>
      <c r="R8" s="236"/>
    </row>
    <row r="9" spans="2:18" ht="19.95" customHeight="1" x14ac:dyDescent="0.3">
      <c r="B9" s="146" t="s">
        <v>109</v>
      </c>
      <c r="C9" s="147">
        <f>'Ratio Analysis'!F15</f>
        <v>0.11058314297321606</v>
      </c>
      <c r="D9" s="147">
        <f>'Ratio Analysis'!K15</f>
        <v>0.2148686630341701</v>
      </c>
      <c r="E9" s="147">
        <f>'Ratio Analysis'!P15</f>
        <v>0.17313516857023617</v>
      </c>
      <c r="F9" s="147">
        <f>'Ratio Analysis'!U15</f>
        <v>0.12117650655118857</v>
      </c>
      <c r="G9" s="147">
        <f>'Ratio Analysis'!Z15</f>
        <v>8.8287082558415095E-2</v>
      </c>
      <c r="H9" s="233">
        <f>G9-F9</f>
        <v>-3.2889423992773476E-2</v>
      </c>
      <c r="I9" s="233"/>
      <c r="J9" s="233"/>
      <c r="K9" s="154" t="s">
        <v>102</v>
      </c>
      <c r="L9" s="155">
        <f>'Ratio Analysis'!F8</f>
        <v>-8.8322046025371987E-3</v>
      </c>
      <c r="M9" s="155">
        <f>'Ratio Analysis'!K8</f>
        <v>3.8882004668879732E-3</v>
      </c>
      <c r="N9" s="155">
        <f>'Ratio Analysis'!P8</f>
        <v>9.7651516094939536E-2</v>
      </c>
      <c r="O9" s="155">
        <f>'Ratio Analysis'!U8</f>
        <v>0.13836467692821172</v>
      </c>
      <c r="P9" s="155">
        <f>'Ratio Analysis'!Z8</f>
        <v>3.3227574986624618E-2</v>
      </c>
      <c r="Q9" s="235">
        <f>P9-O9</f>
        <v>-0.1051371019415871</v>
      </c>
      <c r="R9" s="235"/>
    </row>
    <row r="10" spans="2:18" ht="19.95" customHeight="1" x14ac:dyDescent="0.3">
      <c r="B10"/>
      <c r="C10"/>
      <c r="D10"/>
      <c r="E10"/>
      <c r="F10"/>
      <c r="G10"/>
      <c r="K10" s="156" t="s">
        <v>104</v>
      </c>
      <c r="L10" s="157">
        <f>'Ratio Analysis'!F10</f>
        <v>-6.8136986348701903E-3</v>
      </c>
      <c r="M10" s="157">
        <f>'Ratio Analysis'!K10</f>
        <v>2.7109229223982231E-3</v>
      </c>
      <c r="N10" s="157">
        <f>'Ratio Analysis'!P10</f>
        <v>8.6688078306415284E-2</v>
      </c>
      <c r="O10" s="157">
        <f>'Ratio Analysis'!U10</f>
        <v>0.11867112178451868</v>
      </c>
      <c r="P10" s="157">
        <f>'Ratio Analysis'!Z10</f>
        <v>3.0373211891018853E-2</v>
      </c>
      <c r="Q10" s="236">
        <f>P10-O10</f>
        <v>-8.8297909893499824E-2</v>
      </c>
      <c r="R10" s="236"/>
    </row>
    <row r="11" spans="2:18" ht="19.95" customHeight="1" x14ac:dyDescent="0.3">
      <c r="B11"/>
      <c r="C11"/>
      <c r="D11"/>
      <c r="E11"/>
      <c r="F11"/>
      <c r="G11"/>
      <c r="K11" s="154" t="s">
        <v>105</v>
      </c>
      <c r="L11" s="155">
        <f>'Ratio Analysis'!F11</f>
        <v>-2.4110659656489224E-2</v>
      </c>
      <c r="M11" s="155">
        <f>'Ratio Analysis'!K11</f>
        <v>-1.7305974735453034E-3</v>
      </c>
      <c r="N11" s="155">
        <f>'Ratio Analysis'!P11</f>
        <v>0.20420162644989884</v>
      </c>
      <c r="O11" s="155">
        <f>'Ratio Analysis'!U11</f>
        <v>0.23840162951160054</v>
      </c>
      <c r="P11" s="155">
        <f>'Ratio Analysis'!Z11</f>
        <v>6.1359018290166323E-2</v>
      </c>
      <c r="Q11" s="235">
        <f>P11-O11</f>
        <v>-0.17704261122143422</v>
      </c>
      <c r="R11" s="235"/>
    </row>
    <row r="12" spans="2:18" ht="19.95" customHeight="1" x14ac:dyDescent="0.3">
      <c r="B12"/>
      <c r="C12"/>
      <c r="D12"/>
      <c r="E12"/>
      <c r="F12"/>
      <c r="G12"/>
      <c r="K12"/>
      <c r="L12"/>
      <c r="M12"/>
      <c r="N12"/>
      <c r="O12"/>
      <c r="P12"/>
    </row>
    <row r="13" spans="2:18" ht="19.95" customHeight="1" x14ac:dyDescent="0.3">
      <c r="B13"/>
      <c r="C13"/>
      <c r="D13"/>
      <c r="E13"/>
      <c r="F13"/>
      <c r="G13"/>
      <c r="K13"/>
      <c r="L13"/>
      <c r="M13"/>
      <c r="N13"/>
      <c r="O13"/>
      <c r="P13"/>
    </row>
    <row r="14" spans="2:18" ht="19.95" customHeight="1" x14ac:dyDescent="0.3">
      <c r="B14"/>
      <c r="C14"/>
      <c r="D14"/>
      <c r="E14"/>
      <c r="F14"/>
      <c r="G14"/>
      <c r="K14"/>
      <c r="L14"/>
      <c r="M14"/>
      <c r="N14"/>
      <c r="O14"/>
      <c r="P14"/>
    </row>
    <row r="15" spans="2:18" ht="19.95" customHeight="1" x14ac:dyDescent="0.3">
      <c r="B15"/>
      <c r="C15"/>
      <c r="D15"/>
      <c r="E15"/>
      <c r="F15"/>
      <c r="G15"/>
      <c r="K15"/>
      <c r="L15"/>
      <c r="M15"/>
      <c r="N15"/>
      <c r="O15"/>
      <c r="P15"/>
    </row>
    <row r="16" spans="2:18" ht="19.95" customHeight="1" x14ac:dyDescent="0.3">
      <c r="B16"/>
      <c r="C16"/>
      <c r="D16"/>
      <c r="E16"/>
      <c r="F16"/>
      <c r="G16"/>
      <c r="K16"/>
      <c r="L16"/>
      <c r="M16"/>
      <c r="N16"/>
      <c r="O16"/>
      <c r="P16"/>
    </row>
    <row r="17" spans="2:18" ht="19.95" customHeight="1" x14ac:dyDescent="0.3">
      <c r="B17"/>
      <c r="C17"/>
      <c r="D17"/>
      <c r="E17"/>
      <c r="F17"/>
      <c r="G17"/>
      <c r="K17"/>
      <c r="L17"/>
      <c r="M17"/>
      <c r="N17"/>
      <c r="O17"/>
      <c r="P17"/>
    </row>
    <row r="18" spans="2:18" ht="19.95" customHeight="1" x14ac:dyDescent="0.3">
      <c r="B18"/>
      <c r="C18"/>
      <c r="D18"/>
      <c r="E18"/>
      <c r="F18"/>
      <c r="G18"/>
      <c r="K18"/>
      <c r="L18"/>
      <c r="M18"/>
      <c r="N18"/>
      <c r="O18"/>
      <c r="P18"/>
    </row>
    <row r="19" spans="2:18" ht="19.95" customHeight="1" x14ac:dyDescent="0.3">
      <c r="B19"/>
      <c r="C19"/>
      <c r="D19"/>
      <c r="E19"/>
      <c r="F19"/>
      <c r="G19"/>
      <c r="K19"/>
      <c r="L19"/>
      <c r="M19"/>
      <c r="N19"/>
      <c r="O19"/>
      <c r="P19"/>
    </row>
    <row r="20" spans="2:18" ht="19.95" customHeight="1" x14ac:dyDescent="0.3">
      <c r="B20"/>
      <c r="C20"/>
      <c r="D20"/>
      <c r="E20"/>
      <c r="F20"/>
      <c r="G20"/>
      <c r="K20"/>
      <c r="L20"/>
      <c r="M20"/>
      <c r="N20"/>
      <c r="O20"/>
      <c r="P20"/>
    </row>
    <row r="21" spans="2:18" ht="19.95" customHeight="1" x14ac:dyDescent="0.3">
      <c r="B21"/>
      <c r="C21"/>
      <c r="D21"/>
      <c r="E21"/>
      <c r="F21"/>
      <c r="G21"/>
      <c r="K21"/>
      <c r="L21"/>
      <c r="M21"/>
      <c r="N21"/>
      <c r="O21"/>
      <c r="P21"/>
    </row>
    <row r="22" spans="2:18" ht="19.95" customHeight="1" x14ac:dyDescent="0.3">
      <c r="B22"/>
      <c r="C22"/>
      <c r="D22"/>
      <c r="E22"/>
      <c r="F22"/>
      <c r="G22"/>
      <c r="K22"/>
      <c r="L22"/>
      <c r="M22"/>
      <c r="N22"/>
      <c r="O22"/>
      <c r="P22"/>
    </row>
    <row r="23" spans="2:18" ht="19.95" customHeight="1" x14ac:dyDescent="0.3"/>
    <row r="24" spans="2:18" ht="19.95" customHeight="1" x14ac:dyDescent="0.35">
      <c r="B24" s="162" t="s">
        <v>231</v>
      </c>
      <c r="C24" s="163"/>
      <c r="D24" s="163"/>
      <c r="E24" s="163"/>
      <c r="F24" s="163"/>
      <c r="G24" s="163"/>
      <c r="K24" s="165" t="s">
        <v>220</v>
      </c>
      <c r="L24" s="166"/>
      <c r="M24" s="166"/>
      <c r="N24" s="166"/>
      <c r="O24" s="166"/>
      <c r="P24" s="166"/>
    </row>
    <row r="25" spans="2:18" ht="19.95" customHeight="1" thickBot="1" x14ac:dyDescent="0.35">
      <c r="B25" s="174" t="s">
        <v>197</v>
      </c>
      <c r="C25" s="175" t="s">
        <v>225</v>
      </c>
      <c r="D25" s="175" t="s">
        <v>226</v>
      </c>
      <c r="E25" s="175" t="s">
        <v>227</v>
      </c>
      <c r="F25" s="175" t="s">
        <v>228</v>
      </c>
      <c r="G25" s="175" t="s">
        <v>229</v>
      </c>
      <c r="H25" s="164" t="s">
        <v>251</v>
      </c>
      <c r="I25" s="164"/>
      <c r="J25" s="276"/>
      <c r="K25" s="182" t="s">
        <v>197</v>
      </c>
      <c r="L25" s="183" t="s">
        <v>225</v>
      </c>
      <c r="M25" s="183" t="s">
        <v>226</v>
      </c>
      <c r="N25" s="183" t="s">
        <v>227</v>
      </c>
      <c r="O25" s="183" t="s">
        <v>228</v>
      </c>
      <c r="P25" s="183" t="s">
        <v>229</v>
      </c>
      <c r="Q25" s="167" t="s">
        <v>251</v>
      </c>
      <c r="R25" s="167"/>
    </row>
    <row r="26" spans="2:18" ht="19.95" customHeight="1" x14ac:dyDescent="0.3">
      <c r="B26" s="172" t="s">
        <v>111</v>
      </c>
      <c r="C26" s="173">
        <f>'Ratio Analysis'!F17</f>
        <v>1.2195507353549262</v>
      </c>
      <c r="D26" s="173">
        <f>'Ratio Analysis'!K17</f>
        <v>1.4708538611904598</v>
      </c>
      <c r="E26" s="173">
        <f>'Ratio Analysis'!P17</f>
        <v>1.4120082014114144</v>
      </c>
      <c r="F26" s="173">
        <f>'Ratio Analysis'!U17</f>
        <v>1.0088565459381591</v>
      </c>
      <c r="G26" s="173">
        <f>'Ratio Analysis'!Z17</f>
        <v>1.0792588762960835</v>
      </c>
      <c r="H26" s="233">
        <f>G26-F26</f>
        <v>7.0402330357924425E-2</v>
      </c>
      <c r="I26" s="233"/>
      <c r="J26" s="233"/>
      <c r="K26" s="180" t="s">
        <v>216</v>
      </c>
      <c r="L26" s="181">
        <f>'Ratio Analysis'!F38</f>
        <v>-1.7899377682900424E-3</v>
      </c>
      <c r="M26" s="181">
        <f>'Ratio Analysis'!K38</f>
        <v>3.8292485486827524E-2</v>
      </c>
      <c r="N26" s="181">
        <f>'Ratio Analysis'!P38</f>
        <v>2.8340282372088452E-2</v>
      </c>
      <c r="O26" s="181">
        <f>'Ratio Analysis'!U38</f>
        <v>8.0827851992381114E-2</v>
      </c>
      <c r="P26" s="181">
        <f>'Ratio Analysis'!Z38</f>
        <v>-2.5113249523849756E-2</v>
      </c>
      <c r="Q26" s="235">
        <f>P26-O26</f>
        <v>-0.10594110151623087</v>
      </c>
      <c r="R26" s="235"/>
    </row>
    <row r="27" spans="2:18" ht="19.95" customHeight="1" x14ac:dyDescent="0.3">
      <c r="B27" s="169" t="s">
        <v>112</v>
      </c>
      <c r="C27" s="170">
        <f>'Ratio Analysis'!F18</f>
        <v>0.54945837278187248</v>
      </c>
      <c r="D27" s="170">
        <f>'Ratio Analysis'!K18</f>
        <v>0.595281608634596</v>
      </c>
      <c r="E27" s="170">
        <f>'Ratio Analysis'!P18</f>
        <v>0.58540771154308746</v>
      </c>
      <c r="F27" s="170">
        <f>'Ratio Analysis'!U18</f>
        <v>0.50220437491070902</v>
      </c>
      <c r="G27" s="170">
        <f>'Ratio Analysis'!Z18</f>
        <v>0.5190594055409955</v>
      </c>
      <c r="H27" s="237">
        <f>G27-F27</f>
        <v>1.6855030630286483E-2</v>
      </c>
      <c r="I27" s="237"/>
      <c r="J27" s="235"/>
      <c r="K27" s="177" t="s">
        <v>232</v>
      </c>
      <c r="L27" s="178">
        <f>'Ratio Analysis'!F39</f>
        <v>-7.2393719720355271E-2</v>
      </c>
      <c r="M27" s="178">
        <f>'Ratio Analysis'!K39</f>
        <v>1.2080587999083752</v>
      </c>
      <c r="N27" s="178">
        <f>'Ratio Analysis'!P39</f>
        <v>0.51907954140853685</v>
      </c>
      <c r="O27" s="178">
        <f>'Ratio Analysis'!U39</f>
        <v>1.8847453969505097</v>
      </c>
      <c r="P27" s="178">
        <f>'Ratio Analysis'!Z39</f>
        <v>-0.41986209651970169</v>
      </c>
      <c r="Q27" s="238">
        <f>P27-O27</f>
        <v>-2.3046074934702112</v>
      </c>
      <c r="R27" s="238"/>
    </row>
    <row r="28" spans="2:18" ht="19.95" customHeight="1" x14ac:dyDescent="0.3">
      <c r="B28" s="168" t="s">
        <v>113</v>
      </c>
      <c r="C28" s="171">
        <f>'Ratio Analysis'!F19</f>
        <v>0.45054162721812757</v>
      </c>
      <c r="D28" s="171">
        <f>'Ratio Analysis'!K19</f>
        <v>0.40471839136540394</v>
      </c>
      <c r="E28" s="171">
        <f>'Ratio Analysis'!P19</f>
        <v>0.41459228845691259</v>
      </c>
      <c r="F28" s="171">
        <f>'Ratio Analysis'!U19</f>
        <v>0.49779562508929104</v>
      </c>
      <c r="G28" s="171">
        <f>'Ratio Analysis'!Z19</f>
        <v>0.48094059445900444</v>
      </c>
      <c r="H28" s="235">
        <f>G28-F28</f>
        <v>-1.6855030630286594E-2</v>
      </c>
      <c r="I28" s="235"/>
      <c r="J28" s="235"/>
      <c r="K28" s="176" t="s">
        <v>214</v>
      </c>
      <c r="L28" s="179">
        <f>'Ratio Analysis'!F35/1000000</f>
        <v>-70.058138</v>
      </c>
      <c r="M28" s="179">
        <f>'Ratio Analysis'!K35/1000000</f>
        <v>21.590451000000002</v>
      </c>
      <c r="N28" s="179">
        <f>'Ratio Analysis'!P35/1000000</f>
        <v>-127.16037900000001</v>
      </c>
      <c r="O28" s="179">
        <f>'Ratio Analysis'!U35/1000000</f>
        <v>252.11647500000001</v>
      </c>
      <c r="P28" s="179">
        <f>'Ratio Analysis'!Z35/1000000</f>
        <v>-662.73742200000004</v>
      </c>
      <c r="Q28" s="239">
        <f>P28-O28</f>
        <v>-914.85389700000007</v>
      </c>
      <c r="R28" s="239"/>
    </row>
    <row r="29" spans="2:18" ht="19.95" customHeight="1" x14ac:dyDescent="0.3">
      <c r="B29"/>
      <c r="C29"/>
      <c r="D29"/>
      <c r="E29"/>
      <c r="F29"/>
      <c r="G29"/>
      <c r="K29"/>
      <c r="L29"/>
      <c r="M29"/>
      <c r="N29"/>
      <c r="O29"/>
      <c r="P29"/>
    </row>
    <row r="30" spans="2:18" ht="19.95" customHeight="1" x14ac:dyDescent="0.3">
      <c r="B30"/>
      <c r="C30"/>
      <c r="D30"/>
      <c r="E30"/>
      <c r="F30"/>
      <c r="G30"/>
      <c r="K30"/>
      <c r="L30"/>
      <c r="M30"/>
      <c r="N30"/>
      <c r="O30"/>
      <c r="P30"/>
    </row>
    <row r="31" spans="2:18" ht="19.95" customHeight="1" x14ac:dyDescent="0.3">
      <c r="B31"/>
      <c r="C31"/>
      <c r="D31"/>
      <c r="E31"/>
      <c r="F31"/>
      <c r="G31"/>
      <c r="K31"/>
      <c r="L31"/>
      <c r="M31"/>
      <c r="N31"/>
      <c r="O31"/>
      <c r="P31"/>
    </row>
    <row r="32" spans="2:18" ht="19.95" customHeight="1" x14ac:dyDescent="0.3">
      <c r="B32"/>
      <c r="C32"/>
      <c r="D32"/>
      <c r="E32"/>
      <c r="F32"/>
      <c r="G32"/>
      <c r="K32"/>
      <c r="L32"/>
      <c r="M32"/>
      <c r="N32"/>
      <c r="O32"/>
      <c r="P32"/>
    </row>
    <row r="33" spans="2:18" ht="19.95" customHeight="1" x14ac:dyDescent="0.3">
      <c r="B33"/>
      <c r="C33"/>
      <c r="D33"/>
      <c r="E33"/>
      <c r="F33"/>
      <c r="G33"/>
      <c r="K33"/>
      <c r="L33"/>
      <c r="M33"/>
      <c r="N33"/>
      <c r="O33"/>
      <c r="P33"/>
    </row>
    <row r="34" spans="2:18" ht="19.95" customHeight="1" x14ac:dyDescent="0.3">
      <c r="B34"/>
      <c r="C34"/>
      <c r="D34"/>
      <c r="E34"/>
      <c r="F34"/>
      <c r="G34"/>
      <c r="K34"/>
      <c r="L34"/>
      <c r="M34"/>
      <c r="N34"/>
      <c r="O34"/>
      <c r="P34"/>
    </row>
    <row r="35" spans="2:18" ht="19.95" customHeight="1" x14ac:dyDescent="0.3">
      <c r="B35"/>
      <c r="C35"/>
      <c r="D35"/>
      <c r="E35"/>
      <c r="F35"/>
      <c r="G35"/>
      <c r="K35"/>
      <c r="L35"/>
      <c r="M35"/>
      <c r="N35"/>
      <c r="O35"/>
      <c r="P35"/>
    </row>
    <row r="36" spans="2:18" ht="19.95" customHeight="1" x14ac:dyDescent="0.3">
      <c r="B36"/>
      <c r="C36"/>
      <c r="D36"/>
      <c r="E36"/>
      <c r="F36"/>
      <c r="G36"/>
      <c r="K36"/>
      <c r="L36"/>
      <c r="M36"/>
      <c r="N36"/>
      <c r="O36"/>
      <c r="P36"/>
    </row>
    <row r="37" spans="2:18" ht="19.95" customHeight="1" x14ac:dyDescent="0.3">
      <c r="B37"/>
      <c r="C37"/>
      <c r="D37"/>
      <c r="E37"/>
      <c r="F37"/>
      <c r="G37"/>
      <c r="K37"/>
      <c r="L37"/>
      <c r="M37"/>
      <c r="N37"/>
      <c r="O37"/>
      <c r="P37"/>
    </row>
    <row r="38" spans="2:18" ht="19.95" customHeight="1" x14ac:dyDescent="0.3">
      <c r="B38"/>
      <c r="C38"/>
      <c r="D38"/>
      <c r="E38"/>
      <c r="F38"/>
      <c r="G38"/>
      <c r="K38"/>
      <c r="L38"/>
      <c r="M38"/>
      <c r="N38"/>
      <c r="O38"/>
      <c r="P38"/>
    </row>
    <row r="39" spans="2:18" ht="19.95" customHeight="1" x14ac:dyDescent="0.3">
      <c r="B39"/>
      <c r="C39"/>
      <c r="D39"/>
      <c r="E39"/>
      <c r="F39"/>
      <c r="G39"/>
      <c r="K39"/>
      <c r="L39"/>
      <c r="M39"/>
      <c r="N39"/>
      <c r="O39"/>
      <c r="P39"/>
    </row>
    <row r="40" spans="2:18" ht="19.95" customHeight="1" x14ac:dyDescent="0.3">
      <c r="B40"/>
      <c r="C40"/>
      <c r="D40"/>
      <c r="E40"/>
      <c r="F40"/>
      <c r="G40"/>
      <c r="K40"/>
      <c r="L40"/>
      <c r="M40"/>
      <c r="N40"/>
      <c r="O40"/>
      <c r="P40"/>
    </row>
    <row r="41" spans="2:18" ht="19.95" customHeight="1" x14ac:dyDescent="0.3">
      <c r="B41"/>
      <c r="C41"/>
      <c r="D41"/>
      <c r="E41"/>
      <c r="F41"/>
      <c r="G41"/>
      <c r="K41"/>
      <c r="L41"/>
      <c r="M41"/>
      <c r="N41"/>
      <c r="O41"/>
      <c r="P41"/>
    </row>
    <row r="42" spans="2:18" ht="19.95" customHeight="1" x14ac:dyDescent="0.3"/>
    <row r="43" spans="2:18" ht="19.95" customHeight="1" x14ac:dyDescent="0.35">
      <c r="B43" s="184" t="s">
        <v>221</v>
      </c>
      <c r="C43" s="185"/>
      <c r="D43" s="185"/>
      <c r="E43" s="185"/>
      <c r="F43" s="185"/>
      <c r="G43" s="185"/>
      <c r="K43" s="187" t="s">
        <v>222</v>
      </c>
      <c r="L43" s="188"/>
      <c r="M43" s="188"/>
      <c r="N43" s="188"/>
      <c r="O43" s="188"/>
      <c r="P43" s="188"/>
    </row>
    <row r="44" spans="2:18" ht="19.95" customHeight="1" thickBot="1" x14ac:dyDescent="0.35">
      <c r="B44" s="196" t="s">
        <v>197</v>
      </c>
      <c r="C44" s="197" t="s">
        <v>225</v>
      </c>
      <c r="D44" s="197" t="s">
        <v>226</v>
      </c>
      <c r="E44" s="197" t="s">
        <v>227</v>
      </c>
      <c r="F44" s="197" t="s">
        <v>228</v>
      </c>
      <c r="G44" s="197" t="s">
        <v>229</v>
      </c>
      <c r="H44" s="186" t="s">
        <v>251</v>
      </c>
      <c r="I44" s="186"/>
      <c r="J44" s="277"/>
      <c r="K44" s="202" t="s">
        <v>236</v>
      </c>
      <c r="L44" s="203" t="s">
        <v>225</v>
      </c>
      <c r="M44" s="203" t="s">
        <v>226</v>
      </c>
      <c r="N44" s="203" t="s">
        <v>227</v>
      </c>
      <c r="O44" s="203" t="s">
        <v>228</v>
      </c>
      <c r="P44" s="203" t="s">
        <v>229</v>
      </c>
      <c r="Q44" s="189" t="s">
        <v>251</v>
      </c>
      <c r="R44" s="189"/>
    </row>
    <row r="45" spans="2:18" ht="19.95" customHeight="1" x14ac:dyDescent="0.3">
      <c r="B45" s="194" t="s">
        <v>233</v>
      </c>
      <c r="C45" s="195">
        <f>'Ratio Analysis'!F37</f>
        <v>0.20266036044679636</v>
      </c>
      <c r="D45" s="195">
        <f>'Ratio Analysis'!K37</f>
        <v>9.8483825134345366</v>
      </c>
      <c r="E45" s="195">
        <f>'Ratio Analysis'!P37</f>
        <v>0.290218559889385</v>
      </c>
      <c r="F45" s="195">
        <f>'Ratio Analysis'!U37</f>
        <v>0.58416536493860594</v>
      </c>
      <c r="G45" s="195">
        <f>'Ratio Analysis'!Z37</f>
        <v>-0.75579543598829613</v>
      </c>
      <c r="H45" s="233">
        <f>G45-F45</f>
        <v>-1.3399608009269022</v>
      </c>
      <c r="I45" s="233"/>
      <c r="J45" s="233"/>
      <c r="K45" s="200" t="s">
        <v>237</v>
      </c>
      <c r="L45" s="201">
        <f>'Cash Flow'!F39/1000000</f>
        <v>-4.7293909999999997</v>
      </c>
      <c r="M45" s="201">
        <f>'Cash Flow'!K39/1000000</f>
        <v>125.361361</v>
      </c>
      <c r="N45" s="201">
        <f>'Cash Flow'!P39/1000000</f>
        <v>137.25003799999999</v>
      </c>
      <c r="O45" s="201">
        <f>'Cash Flow'!U39/1000000</f>
        <v>537.075827</v>
      </c>
      <c r="P45" s="201">
        <f>'Cash Flow'!Z39/1000000</f>
        <v>-195.97559799999999</v>
      </c>
      <c r="Q45" s="239">
        <f>P45-O45</f>
        <v>-733.05142499999999</v>
      </c>
      <c r="R45" s="239"/>
    </row>
    <row r="46" spans="2:18" ht="19.95" customHeight="1" x14ac:dyDescent="0.3">
      <c r="B46" s="191" t="s">
        <v>234</v>
      </c>
      <c r="C46" s="192">
        <f>'Ratio Analysis'!F30</f>
        <v>1.3707283883805271E-2</v>
      </c>
      <c r="D46" s="192">
        <f>'Ratio Analysis'!K30</f>
        <v>-6.2876077442270842E-3</v>
      </c>
      <c r="E46" s="192">
        <f>'Ratio Analysis'!P30</f>
        <v>0.11244919531186835</v>
      </c>
      <c r="F46" s="192">
        <f>'Ratio Analysis'!U30</f>
        <v>7.8716870945432477E-2</v>
      </c>
      <c r="G46" s="192">
        <f>'Ratio Analysis'!Z30</f>
        <v>0.11324136915171532</v>
      </c>
      <c r="H46" s="240">
        <f>G46-F46</f>
        <v>3.4524498206282839E-2</v>
      </c>
      <c r="I46" s="240"/>
      <c r="J46" s="235"/>
      <c r="K46" s="198" t="s">
        <v>238</v>
      </c>
      <c r="L46" s="199">
        <f>'Cash Flow'!F48/1000000</f>
        <v>-64.374740000000003</v>
      </c>
      <c r="M46" s="199">
        <f>'Cash Flow'!K48/1000000</f>
        <v>-87.103153000000006</v>
      </c>
      <c r="N46" s="199">
        <f>'Cash Flow'!P48/1000000</f>
        <v>-235.06152399999999</v>
      </c>
      <c r="O46" s="199">
        <f>'Cash Flow'!U48/1000000</f>
        <v>-137.32711399999999</v>
      </c>
      <c r="P46" s="199">
        <f>'Cash Flow'!Z48/1000000</f>
        <v>-466.76182399999999</v>
      </c>
      <c r="Q46" s="241">
        <f>P46-O46</f>
        <v>-329.43471</v>
      </c>
      <c r="R46" s="241"/>
    </row>
    <row r="47" spans="2:18" ht="19.95" customHeight="1" thickBot="1" x14ac:dyDescent="0.35">
      <c r="B47" s="190" t="s">
        <v>235</v>
      </c>
      <c r="C47" s="193">
        <f>'Ratio Analysis'!F31</f>
        <v>0.10717030408791195</v>
      </c>
      <c r="D47" s="193">
        <f>'Ratio Analysis'!K31</f>
        <v>0.20512259600349861</v>
      </c>
      <c r="E47" s="193">
        <f>'Ratio Analysis'!P31</f>
        <v>0.17991313294921771</v>
      </c>
      <c r="F47" s="193">
        <f>'Ratio Analysis'!U31</f>
        <v>0.29688725157530405</v>
      </c>
      <c r="G47" s="193">
        <f>'Ratio Analysis'!Z31</f>
        <v>0.15843594667003738</v>
      </c>
      <c r="H47" s="235">
        <f>G47-F47</f>
        <v>-0.13845130490526666</v>
      </c>
      <c r="I47" s="235"/>
      <c r="J47" s="235"/>
      <c r="K47" s="204" t="s">
        <v>239</v>
      </c>
      <c r="L47" s="205">
        <f>'Cash Flow'!F57/1000000</f>
        <v>120.391345</v>
      </c>
      <c r="M47" s="205">
        <f>'Cash Flow'!K57/1000000</f>
        <v>282.58906500000001</v>
      </c>
      <c r="N47" s="205">
        <f>'Cash Flow'!P57/1000000</f>
        <v>86.117470999999995</v>
      </c>
      <c r="O47" s="205">
        <f>'Cash Flow'!U57/1000000</f>
        <v>-503.78451200000001</v>
      </c>
      <c r="P47" s="205">
        <f>'Cash Flow'!Z57/1000000</f>
        <v>624.45385299999998</v>
      </c>
      <c r="Q47" s="239">
        <f>P47-O47</f>
        <v>1128.2383649999999</v>
      </c>
      <c r="R47" s="239"/>
    </row>
    <row r="48" spans="2:18" ht="19.95" customHeight="1" x14ac:dyDescent="0.3">
      <c r="B48"/>
      <c r="C48"/>
      <c r="D48"/>
      <c r="E48"/>
      <c r="F48"/>
      <c r="G48"/>
      <c r="K48" s="206" t="s">
        <v>223</v>
      </c>
      <c r="L48" s="207">
        <f>L45+L46+L47</f>
        <v>51.287214000000006</v>
      </c>
      <c r="M48" s="207">
        <f>M45+M46+M47</f>
        <v>320.84727299999997</v>
      </c>
      <c r="N48" s="207">
        <f>N45+N46+N47</f>
        <v>-11.694015000000007</v>
      </c>
      <c r="O48" s="207">
        <f>O45+O46+O47</f>
        <v>-104.035799</v>
      </c>
      <c r="P48" s="207">
        <f>P45+P46+P47</f>
        <v>-38.283568999999943</v>
      </c>
      <c r="Q48" s="242">
        <f>P48-O48</f>
        <v>65.752230000000054</v>
      </c>
      <c r="R48" s="242"/>
    </row>
    <row r="49" spans="2:16" ht="19.95" customHeight="1" x14ac:dyDescent="0.3">
      <c r="B49"/>
      <c r="C49"/>
      <c r="D49"/>
      <c r="E49"/>
      <c r="F49"/>
      <c r="G49"/>
      <c r="K49"/>
      <c r="L49"/>
      <c r="M49"/>
      <c r="N49"/>
      <c r="O49"/>
      <c r="P49"/>
    </row>
    <row r="50" spans="2:16" ht="19.95" customHeight="1" x14ac:dyDescent="0.3">
      <c r="B50"/>
      <c r="C50"/>
      <c r="D50"/>
      <c r="E50"/>
      <c r="F50"/>
      <c r="G50"/>
      <c r="K50"/>
      <c r="L50"/>
      <c r="M50"/>
      <c r="N50"/>
      <c r="O50"/>
      <c r="P50"/>
    </row>
    <row r="51" spans="2:16" ht="19.95" customHeight="1" x14ac:dyDescent="0.3">
      <c r="B51"/>
      <c r="C51"/>
      <c r="D51"/>
      <c r="E51"/>
      <c r="F51"/>
      <c r="G51"/>
      <c r="K51"/>
      <c r="L51"/>
      <c r="M51"/>
      <c r="N51"/>
      <c r="O51"/>
      <c r="P51"/>
    </row>
    <row r="52" spans="2:16" ht="19.95" customHeight="1" x14ac:dyDescent="0.3">
      <c r="B52"/>
      <c r="C52"/>
      <c r="D52"/>
      <c r="E52"/>
      <c r="F52"/>
      <c r="G52"/>
      <c r="K52"/>
      <c r="L52"/>
      <c r="M52"/>
      <c r="N52"/>
      <c r="O52"/>
      <c r="P52"/>
    </row>
    <row r="53" spans="2:16" ht="19.95" customHeight="1" x14ac:dyDescent="0.3">
      <c r="B53"/>
      <c r="C53"/>
      <c r="D53"/>
      <c r="E53"/>
      <c r="F53"/>
      <c r="G53"/>
      <c r="K53"/>
      <c r="L53"/>
      <c r="M53"/>
      <c r="N53"/>
      <c r="O53"/>
      <c r="P53"/>
    </row>
    <row r="54" spans="2:16" ht="19.95" customHeight="1" x14ac:dyDescent="0.3">
      <c r="B54"/>
      <c r="C54"/>
      <c r="D54"/>
      <c r="E54"/>
      <c r="F54"/>
      <c r="G54"/>
      <c r="K54"/>
      <c r="L54"/>
      <c r="M54"/>
      <c r="N54"/>
      <c r="O54"/>
      <c r="P54"/>
    </row>
    <row r="55" spans="2:16" ht="19.95" customHeight="1" x14ac:dyDescent="0.3">
      <c r="B55"/>
      <c r="C55"/>
      <c r="D55"/>
      <c r="E55"/>
      <c r="F55"/>
      <c r="G55"/>
      <c r="K55"/>
      <c r="L55"/>
      <c r="M55"/>
      <c r="N55"/>
      <c r="O55"/>
      <c r="P55"/>
    </row>
    <row r="56" spans="2:16" ht="19.95" customHeight="1" x14ac:dyDescent="0.3">
      <c r="B56"/>
      <c r="C56"/>
      <c r="D56"/>
      <c r="E56"/>
      <c r="F56"/>
      <c r="G56"/>
      <c r="K56"/>
      <c r="L56"/>
      <c r="M56"/>
      <c r="N56"/>
      <c r="O56"/>
      <c r="P56"/>
    </row>
    <row r="57" spans="2:16" ht="19.95" customHeight="1" x14ac:dyDescent="0.3">
      <c r="B57"/>
      <c r="C57"/>
      <c r="D57"/>
      <c r="E57"/>
      <c r="F57"/>
      <c r="G57"/>
      <c r="K57"/>
      <c r="L57"/>
      <c r="M57"/>
      <c r="N57"/>
      <c r="O57"/>
      <c r="P57"/>
    </row>
    <row r="58" spans="2:16" ht="19.95" customHeight="1" x14ac:dyDescent="0.3">
      <c r="B58"/>
      <c r="C58"/>
      <c r="D58"/>
      <c r="E58"/>
      <c r="F58"/>
      <c r="G58"/>
      <c r="K58"/>
      <c r="L58"/>
      <c r="M58"/>
      <c r="N58"/>
      <c r="O58"/>
      <c r="P58"/>
    </row>
    <row r="59" spans="2:16" ht="19.95" customHeight="1" x14ac:dyDescent="0.3">
      <c r="B59"/>
      <c r="C59"/>
      <c r="D59"/>
      <c r="E59"/>
      <c r="F59"/>
      <c r="G59"/>
      <c r="K59"/>
      <c r="L59"/>
      <c r="M59"/>
      <c r="N59"/>
      <c r="O59"/>
      <c r="P59"/>
    </row>
    <row r="60" spans="2:16" ht="19.95" customHeight="1" x14ac:dyDescent="0.3">
      <c r="B60"/>
      <c r="C60"/>
      <c r="D60"/>
      <c r="E60"/>
      <c r="F60"/>
      <c r="G60"/>
      <c r="K60"/>
      <c r="L60"/>
      <c r="M60"/>
      <c r="N60"/>
      <c r="O60"/>
      <c r="P60"/>
    </row>
    <row r="61" spans="2:16" ht="19.95" customHeight="1" x14ac:dyDescent="0.3"/>
    <row r="62" spans="2:16" ht="31.95" customHeight="1" x14ac:dyDescent="0.35">
      <c r="B62" s="208" t="s">
        <v>240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</row>
    <row r="63" spans="2:16" ht="7.95" customHeight="1" x14ac:dyDescent="0.3"/>
    <row r="64" spans="2:16" s="290" customFormat="1" ht="22.05" customHeight="1" x14ac:dyDescent="0.3">
      <c r="B64" s="278" t="s">
        <v>241</v>
      </c>
      <c r="C64" s="279"/>
      <c r="D64" s="280" t="s">
        <v>243</v>
      </c>
      <c r="E64" s="281"/>
      <c r="F64" s="282" t="s">
        <v>202</v>
      </c>
      <c r="G64" s="283"/>
      <c r="H64" s="284" t="s">
        <v>244</v>
      </c>
      <c r="I64" s="284"/>
      <c r="J64" s="284"/>
      <c r="K64" s="285"/>
      <c r="L64" s="286" t="s">
        <v>217</v>
      </c>
      <c r="M64" s="287"/>
      <c r="N64" s="288" t="s">
        <v>245</v>
      </c>
      <c r="O64" s="289"/>
    </row>
    <row r="65" spans="2:16" ht="37.950000000000003" customHeight="1" x14ac:dyDescent="0.45">
      <c r="B65" s="211">
        <f>'Income Statement'!AA6/'Income Statement'!V6-1</f>
        <v>0.17442291968069035</v>
      </c>
      <c r="C65" s="209"/>
      <c r="D65" s="215">
        <f>'Ratio Analysis'!Z8</f>
        <v>3.3227574986624618E-2</v>
      </c>
      <c r="E65" s="213"/>
      <c r="F65" s="218">
        <f>'Ratio Analysis'!Z11</f>
        <v>6.1359018290166323E-2</v>
      </c>
      <c r="G65" s="213"/>
      <c r="H65" s="232">
        <f>'Ratio Analysis'!Z17</f>
        <v>1.0792588762960835</v>
      </c>
      <c r="I65" s="274"/>
      <c r="J65" s="220"/>
      <c r="K65" s="220"/>
      <c r="L65" s="225">
        <f>'Ratio Analysis'!Z35/1000000</f>
        <v>-662.73742200000004</v>
      </c>
      <c r="M65" s="223"/>
      <c r="N65" s="227">
        <f>'Ratio Analysis'!Z13</f>
        <v>1.3648887258822999</v>
      </c>
      <c r="O65" s="229"/>
    </row>
    <row r="66" spans="2:16" ht="18" customHeight="1" x14ac:dyDescent="0.3">
      <c r="B66" s="212" t="s">
        <v>242</v>
      </c>
      <c r="C66" s="210"/>
      <c r="D66" s="216" t="str">
        <f>IF('Ratio Analysis'!Z8&gt;='Ratio Analysis'!U8,"▲","▼")&amp;" vs "&amp;TEXT('Ratio Analysis'!U8,"0.0%")&amp;" prior"</f>
        <v>▼ vs 13.8% prior</v>
      </c>
      <c r="E66" s="214"/>
      <c r="F66" s="219" t="str">
        <f>IF('Ratio Analysis'!Z11&gt;='Ratio Analysis'!U11,"▲","▼")&amp;" vs "&amp;TEXT('Ratio Analysis'!U11,"0.0%")&amp;" prior"</f>
        <v>▼ vs 23.8% prior</v>
      </c>
      <c r="G66" s="217"/>
      <c r="H66" s="222" t="str">
        <f>IF('Ratio Analysis'!Z17&lt;='Ratio Analysis'!U17,"▼","▲")&amp;" vs "&amp;TEXT('Ratio Analysis'!U17,"0.00")&amp;"x prior"</f>
        <v>▲ vs 1.01x prior</v>
      </c>
      <c r="I66" s="291"/>
      <c r="J66" s="220"/>
      <c r="K66" s="221"/>
      <c r="L66" s="226" t="str">
        <f>IF('Ratio Analysis'!Z35&gt;='Ratio Analysis'!U35,"▲","▼")&amp;" vs "&amp;TEXT('Ratio Analysis'!U35/1000000,"#,##0")&amp;" prior"</f>
        <v>▼ vs 252 prior</v>
      </c>
      <c r="M66" s="224"/>
      <c r="N66" s="228" t="str">
        <f>IF('Ratio Analysis'!Z13&gt;='Ratio Analysis'!U13,"▲","▼")&amp;" vs "&amp;TEXT('Ratio Analysis'!U13,"0.00")&amp;"x prior"</f>
        <v>▼ vs 1.49x prior</v>
      </c>
      <c r="O66" s="230"/>
    </row>
    <row r="67" spans="2:16" ht="19.95" customHeight="1" x14ac:dyDescent="0.3"/>
    <row r="68" spans="2:16" ht="22.05" customHeight="1" x14ac:dyDescent="0.3">
      <c r="B68" s="231" t="s">
        <v>246</v>
      </c>
    </row>
    <row r="69" spans="2:16" ht="19.95" customHeight="1" x14ac:dyDescent="0.3">
      <c r="B69" s="296" t="s">
        <v>247</v>
      </c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8"/>
    </row>
    <row r="70" spans="2:16" ht="19.95" customHeight="1" x14ac:dyDescent="0.3">
      <c r="B70" s="299" t="s">
        <v>248</v>
      </c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1"/>
    </row>
    <row r="71" spans="2:16" ht="19.95" customHeight="1" x14ac:dyDescent="0.3">
      <c r="B71" s="302" t="s">
        <v>249</v>
      </c>
      <c r="C71" s="303"/>
      <c r="D71" s="303"/>
      <c r="E71" s="303"/>
      <c r="F71" s="303"/>
      <c r="G71" s="303"/>
      <c r="H71" s="303"/>
      <c r="I71" s="303"/>
      <c r="J71" s="303"/>
      <c r="K71" s="303"/>
      <c r="L71" s="303"/>
      <c r="M71" s="303"/>
      <c r="N71" s="303"/>
      <c r="O71" s="303"/>
      <c r="P71" s="304"/>
    </row>
    <row r="72" spans="2:16" ht="19.95" customHeight="1" x14ac:dyDescent="0.3">
      <c r="B72" s="305" t="s">
        <v>250</v>
      </c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7"/>
    </row>
    <row r="73" spans="2:16" ht="19.95" customHeight="1" x14ac:dyDescent="0.3"/>
    <row r="74" spans="2:16" ht="19.95" customHeight="1" x14ac:dyDescent="0.3"/>
    <row r="75" spans="2:16" ht="19.95" customHeight="1" x14ac:dyDescent="0.3"/>
    <row r="76" spans="2:16" ht="19.95" customHeight="1" x14ac:dyDescent="0.3"/>
    <row r="77" spans="2:16" ht="19.95" customHeight="1" x14ac:dyDescent="0.3"/>
    <row r="78" spans="2:16" ht="19.95" customHeight="1" x14ac:dyDescent="0.3"/>
    <row r="79" spans="2:16" ht="19.95" customHeight="1" x14ac:dyDescent="0.3"/>
    <row r="80" spans="2:16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19.95" customHeight="1" x14ac:dyDescent="0.3"/>
    <row r="99" ht="19.95" customHeight="1" x14ac:dyDescent="0.3"/>
    <row r="100" ht="19.95" customHeight="1" x14ac:dyDescent="0.3"/>
    <row r="101" ht="19.95" customHeight="1" x14ac:dyDescent="0.3"/>
    <row r="102" ht="19.95" customHeight="1" x14ac:dyDescent="0.3"/>
    <row r="103" ht="19.95" customHeight="1" x14ac:dyDescent="0.3"/>
    <row r="104" ht="19.95" customHeight="1" x14ac:dyDescent="0.3"/>
    <row r="105" ht="19.95" customHeight="1" x14ac:dyDescent="0.3"/>
    <row r="106" ht="19.95" customHeight="1" x14ac:dyDescent="0.3"/>
    <row r="107" ht="19.95" customHeight="1" x14ac:dyDescent="0.3"/>
    <row r="108" ht="19.95" customHeight="1" x14ac:dyDescent="0.3"/>
    <row r="109" ht="19.95" customHeight="1" x14ac:dyDescent="0.3"/>
    <row r="110" ht="19.95" customHeight="1" x14ac:dyDescent="0.3"/>
    <row r="111" ht="19.95" customHeight="1" x14ac:dyDescent="0.3"/>
    <row r="112" ht="19.95" customHeight="1" x14ac:dyDescent="0.3"/>
    <row r="113" ht="19.95" customHeight="1" x14ac:dyDescent="0.3"/>
    <row r="114" ht="19.95" customHeight="1" x14ac:dyDescent="0.3"/>
    <row r="115" ht="19.95" customHeight="1" x14ac:dyDescent="0.3"/>
    <row r="116" ht="19.95" customHeight="1" x14ac:dyDescent="0.3"/>
    <row r="117" ht="19.95" customHeight="1" x14ac:dyDescent="0.3"/>
    <row r="118" ht="19.95" customHeight="1" x14ac:dyDescent="0.3"/>
    <row r="119" ht="19.95" customHeight="1" x14ac:dyDescent="0.3"/>
    <row r="120" ht="19.95" customHeight="1" x14ac:dyDescent="0.3"/>
    <row r="121" ht="19.95" customHeight="1" x14ac:dyDescent="0.3"/>
    <row r="122" ht="19.95" customHeight="1" x14ac:dyDescent="0.3"/>
    <row r="123" ht="19.95" customHeight="1" x14ac:dyDescent="0.3"/>
    <row r="124" ht="19.95" customHeight="1" x14ac:dyDescent="0.3"/>
    <row r="125" ht="19.95" customHeight="1" x14ac:dyDescent="0.3"/>
    <row r="126" ht="19.95" customHeight="1" x14ac:dyDescent="0.3"/>
    <row r="127" ht="19.95" customHeight="1" x14ac:dyDescent="0.3"/>
    <row r="128" ht="19.95" customHeight="1" x14ac:dyDescent="0.3"/>
    <row r="129" ht="19.95" customHeight="1" x14ac:dyDescent="0.3"/>
    <row r="130" ht="19.95" customHeight="1" x14ac:dyDescent="0.3"/>
    <row r="131" ht="19.95" customHeight="1" x14ac:dyDescent="0.3"/>
    <row r="132" ht="19.95" customHeight="1" x14ac:dyDescent="0.3"/>
    <row r="133" ht="19.95" customHeight="1" x14ac:dyDescent="0.3"/>
    <row r="134" ht="19.95" customHeight="1" x14ac:dyDescent="0.3"/>
    <row r="135" ht="19.95" customHeight="1" x14ac:dyDescent="0.3"/>
    <row r="136" ht="19.95" customHeight="1" x14ac:dyDescent="0.3"/>
    <row r="137" ht="19.95" customHeight="1" x14ac:dyDescent="0.3"/>
    <row r="138" ht="19.95" customHeight="1" x14ac:dyDescent="0.3"/>
    <row r="139" ht="19.95" customHeight="1" x14ac:dyDescent="0.3"/>
    <row r="140" ht="19.95" customHeight="1" x14ac:dyDescent="0.3"/>
    <row r="141" ht="19.95" customHeight="1" x14ac:dyDescent="0.3"/>
    <row r="142" ht="19.95" customHeight="1" x14ac:dyDescent="0.3"/>
    <row r="143" ht="19.95" customHeight="1" x14ac:dyDescent="0.3"/>
    <row r="144" ht="19.95" customHeight="1" x14ac:dyDescent="0.3"/>
    <row r="145" ht="19.95" customHeight="1" x14ac:dyDescent="0.3"/>
    <row r="146" ht="19.95" customHeight="1" x14ac:dyDescent="0.3"/>
    <row r="147" ht="19.95" customHeight="1" x14ac:dyDescent="0.3"/>
    <row r="148" ht="19.95" customHeight="1" x14ac:dyDescent="0.3"/>
    <row r="149" ht="19.95" customHeight="1" x14ac:dyDescent="0.3"/>
    <row r="150" ht="19.95" customHeight="1" x14ac:dyDescent="0.3"/>
    <row r="151" ht="19.95" customHeight="1" x14ac:dyDescent="0.3"/>
    <row r="152" ht="19.95" customHeight="1" x14ac:dyDescent="0.3"/>
    <row r="153" ht="19.95" customHeight="1" x14ac:dyDescent="0.3"/>
    <row r="154" ht="19.95" customHeight="1" x14ac:dyDescent="0.3"/>
    <row r="155" ht="19.95" customHeight="1" x14ac:dyDescent="0.3"/>
    <row r="156" ht="19.95" customHeight="1" x14ac:dyDescent="0.3"/>
    <row r="157" ht="19.95" customHeight="1" x14ac:dyDescent="0.3"/>
    <row r="158" ht="19.95" customHeight="1" x14ac:dyDescent="0.3"/>
    <row r="159" ht="19.95" customHeight="1" x14ac:dyDescent="0.3"/>
    <row r="160" ht="19.95" customHeight="1" x14ac:dyDescent="0.3"/>
    <row r="161" ht="19.95" customHeight="1" x14ac:dyDescent="0.3"/>
    <row r="162" ht="19.95" customHeight="1" x14ac:dyDescent="0.3"/>
    <row r="163" ht="19.95" customHeight="1" x14ac:dyDescent="0.3"/>
    <row r="164" ht="19.95" customHeight="1" x14ac:dyDescent="0.3"/>
    <row r="165" ht="19.95" customHeight="1" x14ac:dyDescent="0.3"/>
    <row r="166" ht="19.95" customHeight="1" x14ac:dyDescent="0.3"/>
    <row r="167" ht="19.95" customHeight="1" x14ac:dyDescent="0.3"/>
    <row r="168" ht="19.95" customHeight="1" x14ac:dyDescent="0.3"/>
    <row r="169" ht="19.95" customHeight="1" x14ac:dyDescent="0.3"/>
    <row r="170" ht="19.95" customHeight="1" x14ac:dyDescent="0.3"/>
    <row r="171" ht="19.95" customHeight="1" x14ac:dyDescent="0.3"/>
    <row r="172" ht="19.95" customHeight="1" x14ac:dyDescent="0.3"/>
    <row r="173" ht="19.95" customHeight="1" x14ac:dyDescent="0.3"/>
    <row r="174" ht="19.95" customHeight="1" x14ac:dyDescent="0.3"/>
    <row r="175" ht="19.95" customHeight="1" x14ac:dyDescent="0.3"/>
    <row r="176" ht="19.95" customHeight="1" x14ac:dyDescent="0.3"/>
    <row r="177" ht="19.95" customHeight="1" x14ac:dyDescent="0.3"/>
    <row r="178" ht="19.95" customHeight="1" x14ac:dyDescent="0.3"/>
    <row r="179" ht="19.95" customHeight="1" x14ac:dyDescent="0.3"/>
    <row r="180" ht="19.95" customHeight="1" x14ac:dyDescent="0.3"/>
    <row r="181" ht="19.95" customHeight="1" x14ac:dyDescent="0.3"/>
    <row r="182" ht="19.95" customHeight="1" x14ac:dyDescent="0.3"/>
    <row r="183" ht="19.95" customHeight="1" x14ac:dyDescent="0.3"/>
    <row r="184" ht="19.95" customHeight="1" x14ac:dyDescent="0.3"/>
    <row r="185" ht="19.95" customHeight="1" x14ac:dyDescent="0.3"/>
    <row r="186" ht="19.95" customHeight="1" x14ac:dyDescent="0.3"/>
    <row r="187" ht="19.95" customHeight="1" x14ac:dyDescent="0.3"/>
    <row r="188" ht="19.95" customHeight="1" x14ac:dyDescent="0.3"/>
    <row r="189" ht="19.95" customHeight="1" x14ac:dyDescent="0.3"/>
    <row r="190" ht="19.95" customHeight="1" x14ac:dyDescent="0.3"/>
    <row r="191" ht="19.95" customHeight="1" x14ac:dyDescent="0.3"/>
    <row r="192" ht="19.95" customHeight="1" x14ac:dyDescent="0.3"/>
    <row r="193" ht="19.95" customHeight="1" x14ac:dyDescent="0.3"/>
    <row r="194" ht="19.95" customHeight="1" x14ac:dyDescent="0.3"/>
    <row r="195" ht="19.95" customHeight="1" x14ac:dyDescent="0.3"/>
    <row r="196" ht="19.95" customHeight="1" x14ac:dyDescent="0.3"/>
    <row r="197" ht="19.95" customHeight="1" x14ac:dyDescent="0.3"/>
    <row r="198" ht="19.95" customHeight="1" x14ac:dyDescent="0.3"/>
    <row r="199" ht="19.95" customHeight="1" x14ac:dyDescent="0.3"/>
    <row r="200" ht="19.95" customHeight="1" x14ac:dyDescent="0.3"/>
  </sheetData>
  <mergeCells count="4">
    <mergeCell ref="B69:P69"/>
    <mergeCell ref="B70:P70"/>
    <mergeCell ref="B71:P71"/>
    <mergeCell ref="B72:P72"/>
  </mergeCells>
  <conditionalFormatting sqref="C7:G7">
    <cfRule type="colorScale" priority="1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C8:G8">
    <cfRule type="colorScale" priority="2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C9:G9">
    <cfRule type="colorScale" priority="3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C26:G26">
    <cfRule type="colorScale" priority="9">
      <colorScale>
        <cfvo type="min"/>
        <cfvo type="percent" val="50"/>
        <cfvo type="max"/>
        <color rgb="FFA8D5BA"/>
        <color rgb="FFFFF3B0"/>
        <color rgb="FFF8B4B4"/>
      </colorScale>
    </cfRule>
  </conditionalFormatting>
  <conditionalFormatting sqref="C27:G27">
    <cfRule type="colorScale" priority="10">
      <colorScale>
        <cfvo type="min"/>
        <cfvo type="percent" val="50"/>
        <cfvo type="max"/>
        <color rgb="FFA8D5BA"/>
        <color rgb="FFFFF3B0"/>
        <color rgb="FFF8B4B4"/>
      </colorScale>
    </cfRule>
  </conditionalFormatting>
  <conditionalFormatting sqref="C28:G28">
    <cfRule type="colorScale" priority="11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C45:G45">
    <cfRule type="colorScale" priority="15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C46:G46">
    <cfRule type="colorScale" priority="16">
      <colorScale>
        <cfvo type="min"/>
        <cfvo type="percent" val="50"/>
        <cfvo type="max"/>
        <color rgb="FFA8D5BA"/>
        <color rgb="FFFFF3B0"/>
        <color rgb="FFF8B4B4"/>
      </colorScale>
    </cfRule>
  </conditionalFormatting>
  <conditionalFormatting sqref="C47:G47">
    <cfRule type="colorScale" priority="17">
      <colorScale>
        <cfvo type="min"/>
        <cfvo type="percent" val="50"/>
        <cfvo type="max"/>
        <color rgb="FFA8D5BA"/>
        <color rgb="FFFFF3B0"/>
        <color rgb="FFF8B4B4"/>
      </colorScale>
    </cfRule>
  </conditionalFormatting>
  <conditionalFormatting sqref="H7:J9 Q7:R11 Q26:R28 H28:J28 H45:J45 Q45:R48">
    <cfRule type="cellIs" dxfId="4" priority="19" operator="greaterThan">
      <formula>0</formula>
    </cfRule>
    <cfRule type="cellIs" dxfId="3" priority="20" operator="lessThan">
      <formula>0</formula>
    </cfRule>
  </conditionalFormatting>
  <conditionalFormatting sqref="H26:J27 H46:J47">
    <cfRule type="cellIs" dxfId="2" priority="23" operator="greaterThan">
      <formula>0</formula>
    </cfRule>
    <cfRule type="cellIs" dxfId="1" priority="24" operator="lessThan">
      <formula>0</formula>
    </cfRule>
  </conditionalFormatting>
  <conditionalFormatting sqref="L7:P7">
    <cfRule type="colorScale" priority="4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L8:P8">
    <cfRule type="colorScale" priority="5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L9:P9">
    <cfRule type="colorScale" priority="6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L10:P10">
    <cfRule type="colorScale" priority="7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L11:P11">
    <cfRule type="colorScale" priority="8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L26:P26">
    <cfRule type="colorScale" priority="12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L27:P27">
    <cfRule type="colorScale" priority="13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L28:P28">
    <cfRule type="colorScale" priority="14">
      <colorScale>
        <cfvo type="min"/>
        <cfvo type="percent" val="50"/>
        <cfvo type="max"/>
        <color rgb="FFF8B4B4"/>
        <color rgb="FFFFF3B0"/>
        <color rgb="FFA8D5BA"/>
      </colorScale>
    </cfRule>
  </conditionalFormatting>
  <conditionalFormatting sqref="L45:P45">
    <cfRule type="colorScale" priority="18">
      <colorScale>
        <cfvo type="min"/>
        <cfvo type="percent" val="50"/>
        <cfvo type="max"/>
        <color rgb="FFF8B4B4"/>
        <color rgb="FFFFF3B0"/>
        <color rgb="FFA8D5BA"/>
      </colorScale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793D-F906-4322-90F8-45726FBB2E91}">
  <sheetPr>
    <tabColor rgb="FFF39C12"/>
  </sheetPr>
  <dimension ref="B1:H20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.5546875" customWidth="1"/>
    <col min="2" max="2" width="13.88671875" customWidth="1"/>
    <col min="3" max="4" width="20.33203125" customWidth="1"/>
    <col min="5" max="5" width="59.21875" customWidth="1"/>
    <col min="6" max="6" width="51.88671875" customWidth="1"/>
    <col min="7" max="7" width="37" customWidth="1"/>
    <col min="8" max="8" width="16.6640625" customWidth="1"/>
  </cols>
  <sheetData>
    <row r="1" spans="2:8" ht="22.05" customHeight="1" x14ac:dyDescent="0.3"/>
    <row r="2" spans="2:8" ht="22.05" customHeight="1" x14ac:dyDescent="0.5">
      <c r="B2" s="139" t="s">
        <v>252</v>
      </c>
      <c r="C2" s="138"/>
      <c r="D2" s="138"/>
      <c r="E2" s="138"/>
      <c r="F2" s="138"/>
      <c r="G2" s="138"/>
      <c r="H2" s="138"/>
    </row>
    <row r="3" spans="2:8" ht="22.05" customHeight="1" x14ac:dyDescent="0.3">
      <c r="B3" s="243" t="s">
        <v>253</v>
      </c>
    </row>
    <row r="4" spans="2:8" ht="22.05" customHeight="1" x14ac:dyDescent="0.3"/>
    <row r="5" spans="2:8" ht="22.05" customHeight="1" thickBot="1" x14ac:dyDescent="0.35">
      <c r="B5" s="244" t="s">
        <v>218</v>
      </c>
      <c r="C5" s="244" t="s">
        <v>254</v>
      </c>
      <c r="D5" s="244" t="s">
        <v>255</v>
      </c>
      <c r="E5" s="245" t="s">
        <v>256</v>
      </c>
      <c r="F5" s="245" t="s">
        <v>257</v>
      </c>
      <c r="G5" s="245" t="s">
        <v>258</v>
      </c>
      <c r="H5" s="244" t="s">
        <v>259</v>
      </c>
    </row>
    <row r="6" spans="2:8" ht="28.8" x14ac:dyDescent="0.3">
      <c r="B6" s="246" t="s">
        <v>1</v>
      </c>
      <c r="C6" s="247" t="s">
        <v>260</v>
      </c>
      <c r="D6" s="248" t="s">
        <v>261</v>
      </c>
      <c r="E6" s="249" t="s">
        <v>262</v>
      </c>
      <c r="F6" s="250" t="s">
        <v>263</v>
      </c>
      <c r="G6" s="251" t="s">
        <v>264</v>
      </c>
      <c r="H6" s="252" t="s">
        <v>265</v>
      </c>
    </row>
    <row r="7" spans="2:8" ht="28.8" x14ac:dyDescent="0.3">
      <c r="B7" s="253" t="s">
        <v>2</v>
      </c>
      <c r="C7" s="254">
        <v>44621</v>
      </c>
      <c r="D7" s="255" t="s">
        <v>266</v>
      </c>
      <c r="E7" s="256" t="s">
        <v>267</v>
      </c>
      <c r="F7" s="257" t="s">
        <v>268</v>
      </c>
      <c r="G7" s="258" t="s">
        <v>269</v>
      </c>
      <c r="H7" s="259" t="s">
        <v>270</v>
      </c>
    </row>
    <row r="8" spans="2:8" ht="28.8" x14ac:dyDescent="0.3">
      <c r="B8" s="260" t="s">
        <v>2</v>
      </c>
      <c r="C8" s="261">
        <v>44835</v>
      </c>
      <c r="D8" s="255" t="s">
        <v>266</v>
      </c>
      <c r="E8" s="262" t="s">
        <v>271</v>
      </c>
      <c r="F8" s="263" t="s">
        <v>272</v>
      </c>
      <c r="G8" s="264" t="s">
        <v>273</v>
      </c>
      <c r="H8" s="259" t="s">
        <v>270</v>
      </c>
    </row>
    <row r="9" spans="2:8" ht="28.8" x14ac:dyDescent="0.3">
      <c r="B9" s="253" t="s">
        <v>3</v>
      </c>
      <c r="C9" s="265" t="s">
        <v>260</v>
      </c>
      <c r="D9" s="266" t="s">
        <v>274</v>
      </c>
      <c r="E9" s="256" t="s">
        <v>275</v>
      </c>
      <c r="F9" s="257" t="s">
        <v>276</v>
      </c>
      <c r="G9" s="258" t="s">
        <v>277</v>
      </c>
      <c r="H9" s="267" t="s">
        <v>278</v>
      </c>
    </row>
    <row r="10" spans="2:8" ht="28.8" x14ac:dyDescent="0.3">
      <c r="B10" s="260" t="s">
        <v>4</v>
      </c>
      <c r="C10" s="261">
        <v>45352</v>
      </c>
      <c r="D10" s="268" t="s">
        <v>266</v>
      </c>
      <c r="E10" s="262" t="s">
        <v>279</v>
      </c>
      <c r="F10" s="263" t="s">
        <v>280</v>
      </c>
      <c r="G10" s="264" t="s">
        <v>281</v>
      </c>
      <c r="H10" s="269" t="s">
        <v>282</v>
      </c>
    </row>
    <row r="11" spans="2:8" ht="28.8" x14ac:dyDescent="0.3">
      <c r="B11" s="253" t="s">
        <v>5</v>
      </c>
      <c r="C11" s="265" t="s">
        <v>260</v>
      </c>
      <c r="D11" s="255" t="s">
        <v>283</v>
      </c>
      <c r="E11" s="270" t="s">
        <v>284</v>
      </c>
      <c r="F11" s="257" t="s">
        <v>285</v>
      </c>
      <c r="G11" s="258" t="s">
        <v>286</v>
      </c>
      <c r="H11" s="259" t="s">
        <v>270</v>
      </c>
    </row>
    <row r="12" spans="2:8" ht="22.05" customHeight="1" x14ac:dyDescent="0.3">
      <c r="B12" s="271"/>
      <c r="C12" s="271"/>
      <c r="D12" s="271"/>
      <c r="E12" s="272"/>
      <c r="F12" s="272"/>
      <c r="G12" s="272"/>
      <c r="H12" s="271"/>
    </row>
    <row r="13" spans="2:8" ht="22.05" customHeight="1" x14ac:dyDescent="0.3">
      <c r="B13" s="271"/>
      <c r="C13" s="271"/>
      <c r="D13" s="271"/>
      <c r="E13" s="272"/>
      <c r="F13" s="272"/>
      <c r="G13" s="272"/>
      <c r="H13" s="271"/>
    </row>
    <row r="14" spans="2:8" ht="22.05" customHeight="1" x14ac:dyDescent="0.3">
      <c r="B14" s="271"/>
      <c r="C14" s="271"/>
      <c r="D14" s="271"/>
      <c r="E14" s="272"/>
      <c r="F14" s="272"/>
      <c r="G14" s="272"/>
      <c r="H14" s="271"/>
    </row>
    <row r="15" spans="2:8" ht="22.05" customHeight="1" x14ac:dyDescent="0.3">
      <c r="B15" s="271"/>
      <c r="C15" s="271"/>
      <c r="D15" s="271"/>
      <c r="E15" s="272"/>
      <c r="F15" s="272"/>
      <c r="G15" s="272"/>
      <c r="H15" s="271"/>
    </row>
    <row r="16" spans="2:8" ht="22.05" customHeight="1" x14ac:dyDescent="0.3">
      <c r="B16" s="271"/>
      <c r="C16" s="271"/>
      <c r="D16" s="271"/>
      <c r="E16" s="272"/>
      <c r="F16" s="272"/>
      <c r="G16" s="272"/>
      <c r="H16" s="271"/>
    </row>
    <row r="17" spans="2:8" ht="22.05" customHeight="1" x14ac:dyDescent="0.3">
      <c r="B17" s="271"/>
      <c r="C17" s="271"/>
      <c r="D17" s="271"/>
      <c r="E17" s="272"/>
      <c r="F17" s="272"/>
      <c r="G17" s="272"/>
      <c r="H17" s="271"/>
    </row>
    <row r="18" spans="2:8" ht="22.05" customHeight="1" x14ac:dyDescent="0.3">
      <c r="B18" s="271"/>
      <c r="C18" s="271"/>
      <c r="D18" s="271"/>
      <c r="E18" s="272"/>
      <c r="F18" s="272"/>
      <c r="G18" s="272"/>
      <c r="H18" s="271"/>
    </row>
    <row r="19" spans="2:8" ht="22.05" customHeight="1" x14ac:dyDescent="0.3">
      <c r="B19" s="271"/>
      <c r="C19" s="271"/>
      <c r="D19" s="271"/>
      <c r="E19" s="272"/>
      <c r="F19" s="272"/>
      <c r="G19" s="272"/>
      <c r="H19" s="271"/>
    </row>
    <row r="20" spans="2:8" ht="22.05" customHeight="1" x14ac:dyDescent="0.3">
      <c r="B20" s="271"/>
      <c r="C20" s="271"/>
      <c r="D20" s="271"/>
      <c r="E20" s="272"/>
      <c r="F20" s="272"/>
      <c r="G20" s="272"/>
      <c r="H20" s="271"/>
    </row>
    <row r="21" spans="2:8" ht="22.05" customHeight="1" x14ac:dyDescent="0.3">
      <c r="B21" s="271"/>
      <c r="C21" s="271"/>
      <c r="D21" s="271"/>
      <c r="E21" s="272"/>
      <c r="F21" s="272"/>
      <c r="G21" s="272"/>
      <c r="H21" s="271"/>
    </row>
    <row r="22" spans="2:8" ht="22.05" customHeight="1" x14ac:dyDescent="0.3">
      <c r="B22" s="271"/>
      <c r="C22" s="271"/>
      <c r="D22" s="271"/>
      <c r="E22" s="272"/>
      <c r="F22" s="272"/>
      <c r="G22" s="272"/>
      <c r="H22" s="271"/>
    </row>
    <row r="23" spans="2:8" ht="22.05" customHeight="1" x14ac:dyDescent="0.3">
      <c r="B23" s="271"/>
      <c r="C23" s="271"/>
      <c r="D23" s="271"/>
      <c r="E23" s="272"/>
      <c r="F23" s="272"/>
      <c r="G23" s="272"/>
      <c r="H23" s="271"/>
    </row>
    <row r="24" spans="2:8" ht="22.05" customHeight="1" x14ac:dyDescent="0.3">
      <c r="B24" s="271"/>
      <c r="C24" s="271"/>
      <c r="D24" s="271"/>
      <c r="E24" s="272"/>
      <c r="F24" s="272"/>
      <c r="G24" s="272"/>
      <c r="H24" s="271"/>
    </row>
    <row r="25" spans="2:8" ht="22.05" customHeight="1" x14ac:dyDescent="0.3">
      <c r="B25" s="271"/>
      <c r="C25" s="271"/>
      <c r="D25" s="271"/>
      <c r="E25" s="272"/>
      <c r="F25" s="272"/>
      <c r="G25" s="272"/>
      <c r="H25" s="271"/>
    </row>
    <row r="26" spans="2:8" ht="22.05" customHeight="1" x14ac:dyDescent="0.3">
      <c r="B26" s="271"/>
      <c r="C26" s="271"/>
      <c r="D26" s="271"/>
      <c r="E26" s="272"/>
      <c r="F26" s="272"/>
      <c r="G26" s="272"/>
      <c r="H26" s="271"/>
    </row>
    <row r="27" spans="2:8" ht="22.05" customHeight="1" x14ac:dyDescent="0.3">
      <c r="B27" s="271"/>
      <c r="C27" s="271"/>
      <c r="D27" s="271"/>
      <c r="E27" s="272"/>
      <c r="F27" s="272"/>
      <c r="G27" s="272"/>
      <c r="H27" s="271"/>
    </row>
    <row r="28" spans="2:8" ht="22.05" customHeight="1" x14ac:dyDescent="0.3">
      <c r="B28" s="271"/>
      <c r="C28" s="271"/>
      <c r="D28" s="271"/>
      <c r="E28" s="272"/>
      <c r="F28" s="272"/>
      <c r="G28" s="272"/>
      <c r="H28" s="271"/>
    </row>
    <row r="29" spans="2:8" ht="22.05" customHeight="1" x14ac:dyDescent="0.3">
      <c r="B29" s="271"/>
      <c r="C29" s="271"/>
      <c r="D29" s="271"/>
      <c r="E29" s="272"/>
      <c r="F29" s="272"/>
      <c r="G29" s="272"/>
      <c r="H29" s="271"/>
    </row>
    <row r="30" spans="2:8" ht="22.05" customHeight="1" x14ac:dyDescent="0.3">
      <c r="B30" s="271"/>
      <c r="C30" s="271"/>
      <c r="D30" s="271"/>
      <c r="E30" s="272"/>
      <c r="F30" s="272"/>
      <c r="G30" s="272"/>
      <c r="H30" s="271"/>
    </row>
    <row r="31" spans="2:8" ht="22.05" customHeight="1" x14ac:dyDescent="0.3">
      <c r="B31" s="271"/>
      <c r="C31" s="271"/>
      <c r="D31" s="271"/>
      <c r="E31" s="272"/>
      <c r="F31" s="272"/>
      <c r="G31" s="272"/>
      <c r="H31" s="271"/>
    </row>
    <row r="32" spans="2:8" ht="22.05" customHeight="1" x14ac:dyDescent="0.3">
      <c r="B32" s="271"/>
      <c r="C32" s="271"/>
      <c r="D32" s="271"/>
      <c r="E32" s="272"/>
      <c r="F32" s="272"/>
      <c r="G32" s="272"/>
      <c r="H32" s="271"/>
    </row>
    <row r="33" spans="2:8" ht="22.05" customHeight="1" x14ac:dyDescent="0.3">
      <c r="B33" s="271"/>
      <c r="C33" s="271"/>
      <c r="D33" s="271"/>
      <c r="E33" s="272"/>
      <c r="F33" s="272"/>
      <c r="G33" s="272"/>
      <c r="H33" s="271"/>
    </row>
    <row r="34" spans="2:8" ht="22.05" customHeight="1" x14ac:dyDescent="0.3">
      <c r="B34" s="271"/>
      <c r="C34" s="271"/>
      <c r="D34" s="271"/>
      <c r="E34" s="272"/>
      <c r="F34" s="272"/>
      <c r="G34" s="272"/>
      <c r="H34" s="271"/>
    </row>
    <row r="35" spans="2:8" ht="22.05" customHeight="1" x14ac:dyDescent="0.3">
      <c r="B35" s="271"/>
      <c r="C35" s="271"/>
      <c r="D35" s="271"/>
      <c r="E35" s="272"/>
      <c r="F35" s="272"/>
      <c r="G35" s="272"/>
      <c r="H35" s="271"/>
    </row>
    <row r="36" spans="2:8" ht="22.05" customHeight="1" x14ac:dyDescent="0.3">
      <c r="B36" s="271"/>
      <c r="C36" s="271"/>
      <c r="D36" s="271"/>
      <c r="E36" s="272"/>
      <c r="F36" s="272"/>
      <c r="G36" s="272"/>
      <c r="H36" s="271"/>
    </row>
    <row r="37" spans="2:8" ht="22.05" customHeight="1" x14ac:dyDescent="0.3">
      <c r="B37" s="271"/>
      <c r="C37" s="271"/>
      <c r="D37" s="271"/>
      <c r="E37" s="272"/>
      <c r="F37" s="272"/>
      <c r="G37" s="272"/>
      <c r="H37" s="271"/>
    </row>
    <row r="38" spans="2:8" ht="22.05" customHeight="1" x14ac:dyDescent="0.3">
      <c r="B38" s="271"/>
      <c r="C38" s="271"/>
      <c r="D38" s="271"/>
      <c r="E38" s="272"/>
      <c r="F38" s="272"/>
      <c r="G38" s="272"/>
      <c r="H38" s="271"/>
    </row>
    <row r="39" spans="2:8" ht="22.05" customHeight="1" x14ac:dyDescent="0.3">
      <c r="B39" s="271"/>
      <c r="C39" s="271"/>
      <c r="D39" s="271"/>
      <c r="E39" s="272"/>
      <c r="F39" s="272"/>
      <c r="G39" s="272"/>
      <c r="H39" s="271"/>
    </row>
    <row r="40" spans="2:8" ht="22.05" customHeight="1" x14ac:dyDescent="0.3">
      <c r="B40" s="271"/>
      <c r="C40" s="271"/>
      <c r="D40" s="271"/>
      <c r="E40" s="272"/>
      <c r="F40" s="272"/>
      <c r="G40" s="272"/>
      <c r="H40" s="271"/>
    </row>
    <row r="41" spans="2:8" ht="22.05" customHeight="1" x14ac:dyDescent="0.3">
      <c r="B41" s="271"/>
      <c r="C41" s="271"/>
      <c r="D41" s="271"/>
      <c r="E41" s="272"/>
      <c r="F41" s="272"/>
      <c r="G41" s="272"/>
      <c r="H41" s="271"/>
    </row>
    <row r="42" spans="2:8" ht="22.05" customHeight="1" x14ac:dyDescent="0.3">
      <c r="B42" s="271"/>
      <c r="C42" s="271"/>
      <c r="D42" s="271"/>
      <c r="E42" s="272"/>
      <c r="F42" s="272"/>
      <c r="G42" s="272"/>
      <c r="H42" s="271"/>
    </row>
    <row r="43" spans="2:8" ht="22.05" customHeight="1" x14ac:dyDescent="0.3">
      <c r="B43" s="271"/>
      <c r="C43" s="271"/>
      <c r="D43" s="271"/>
      <c r="E43" s="272"/>
      <c r="F43" s="272"/>
      <c r="G43" s="272"/>
      <c r="H43" s="271"/>
    </row>
    <row r="44" spans="2:8" ht="22.05" customHeight="1" x14ac:dyDescent="0.3">
      <c r="B44" s="271"/>
      <c r="C44" s="271"/>
      <c r="D44" s="271"/>
      <c r="E44" s="272"/>
      <c r="F44" s="272"/>
      <c r="G44" s="272"/>
      <c r="H44" s="271"/>
    </row>
    <row r="45" spans="2:8" ht="22.05" customHeight="1" x14ac:dyDescent="0.3">
      <c r="B45" s="271"/>
      <c r="C45" s="271"/>
      <c r="D45" s="271"/>
      <c r="E45" s="272"/>
      <c r="F45" s="272"/>
      <c r="G45" s="272"/>
      <c r="H45" s="271"/>
    </row>
    <row r="46" spans="2:8" ht="22.05" customHeight="1" x14ac:dyDescent="0.3">
      <c r="B46" s="271"/>
      <c r="C46" s="271"/>
      <c r="D46" s="271"/>
      <c r="E46" s="272"/>
      <c r="F46" s="272"/>
      <c r="G46" s="272"/>
      <c r="H46" s="271"/>
    </row>
    <row r="47" spans="2:8" ht="22.05" customHeight="1" x14ac:dyDescent="0.3">
      <c r="B47" s="271"/>
      <c r="C47" s="271"/>
      <c r="D47" s="271"/>
      <c r="E47" s="272"/>
      <c r="F47" s="272"/>
      <c r="G47" s="272"/>
      <c r="H47" s="271"/>
    </row>
    <row r="48" spans="2:8" ht="22.05" customHeight="1" x14ac:dyDescent="0.3">
      <c r="B48" s="271"/>
      <c r="C48" s="271"/>
      <c r="D48" s="271"/>
      <c r="E48" s="272"/>
      <c r="F48" s="272"/>
      <c r="G48" s="272"/>
      <c r="H48" s="271"/>
    </row>
    <row r="49" spans="2:8" ht="22.05" customHeight="1" x14ac:dyDescent="0.3">
      <c r="B49" s="271"/>
      <c r="C49" s="271"/>
      <c r="D49" s="271"/>
      <c r="E49" s="272"/>
      <c r="F49" s="272"/>
      <c r="G49" s="272"/>
      <c r="H49" s="271"/>
    </row>
    <row r="50" spans="2:8" ht="22.05" customHeight="1" x14ac:dyDescent="0.3">
      <c r="B50" s="271"/>
      <c r="C50" s="271"/>
      <c r="D50" s="271"/>
      <c r="E50" s="272"/>
      <c r="F50" s="272"/>
      <c r="G50" s="272"/>
      <c r="H50" s="271"/>
    </row>
    <row r="51" spans="2:8" ht="22.05" customHeight="1" x14ac:dyDescent="0.3">
      <c r="B51" s="271"/>
      <c r="C51" s="271"/>
      <c r="D51" s="271"/>
      <c r="E51" s="272"/>
      <c r="F51" s="272"/>
      <c r="G51" s="272"/>
      <c r="H51" s="271"/>
    </row>
    <row r="52" spans="2:8" ht="22.05" customHeight="1" x14ac:dyDescent="0.3">
      <c r="B52" s="271"/>
      <c r="C52" s="271"/>
      <c r="D52" s="271"/>
      <c r="E52" s="272"/>
      <c r="F52" s="272"/>
      <c r="G52" s="272"/>
      <c r="H52" s="271"/>
    </row>
    <row r="53" spans="2:8" ht="22.05" customHeight="1" x14ac:dyDescent="0.3">
      <c r="B53" s="271"/>
      <c r="C53" s="271"/>
      <c r="D53" s="271"/>
      <c r="E53" s="272"/>
      <c r="F53" s="272"/>
      <c r="G53" s="272"/>
      <c r="H53" s="271"/>
    </row>
    <row r="54" spans="2:8" ht="22.05" customHeight="1" x14ac:dyDescent="0.3">
      <c r="B54" s="271"/>
      <c r="C54" s="271"/>
      <c r="D54" s="271"/>
      <c r="E54" s="272"/>
      <c r="F54" s="272"/>
      <c r="G54" s="272"/>
      <c r="H54" s="271"/>
    </row>
    <row r="55" spans="2:8" ht="22.05" customHeight="1" x14ac:dyDescent="0.3">
      <c r="B55" s="271"/>
      <c r="C55" s="271"/>
      <c r="D55" s="271"/>
      <c r="E55" s="272"/>
      <c r="F55" s="272"/>
      <c r="G55" s="272"/>
      <c r="H55" s="271"/>
    </row>
    <row r="56" spans="2:8" ht="22.05" customHeight="1" x14ac:dyDescent="0.3">
      <c r="B56" s="271"/>
      <c r="C56" s="271"/>
      <c r="D56" s="271"/>
      <c r="E56" s="272"/>
      <c r="F56" s="272"/>
      <c r="G56" s="272"/>
      <c r="H56" s="271"/>
    </row>
    <row r="57" spans="2:8" ht="22.05" customHeight="1" x14ac:dyDescent="0.3">
      <c r="B57" s="271"/>
      <c r="C57" s="271"/>
      <c r="D57" s="271"/>
      <c r="E57" s="272"/>
      <c r="F57" s="272"/>
      <c r="G57" s="272"/>
      <c r="H57" s="271"/>
    </row>
    <row r="58" spans="2:8" ht="22.05" customHeight="1" x14ac:dyDescent="0.3">
      <c r="B58" s="271"/>
      <c r="C58" s="271"/>
      <c r="D58" s="271"/>
      <c r="E58" s="272"/>
      <c r="F58" s="272"/>
      <c r="G58" s="272"/>
      <c r="H58" s="271"/>
    </row>
    <row r="59" spans="2:8" ht="22.05" customHeight="1" x14ac:dyDescent="0.3">
      <c r="B59" s="271"/>
      <c r="C59" s="271"/>
      <c r="D59" s="271"/>
      <c r="E59" s="272"/>
      <c r="F59" s="272"/>
      <c r="G59" s="272"/>
      <c r="H59" s="271"/>
    </row>
    <row r="60" spans="2:8" ht="22.05" customHeight="1" x14ac:dyDescent="0.3">
      <c r="B60" s="271"/>
      <c r="C60" s="271"/>
      <c r="D60" s="271"/>
      <c r="E60" s="272"/>
      <c r="F60" s="272"/>
      <c r="G60" s="272"/>
      <c r="H60" s="271"/>
    </row>
    <row r="61" spans="2:8" ht="22.05" customHeight="1" x14ac:dyDescent="0.3">
      <c r="B61" s="271"/>
      <c r="C61" s="271"/>
      <c r="D61" s="271"/>
      <c r="E61" s="272"/>
      <c r="F61" s="272"/>
      <c r="G61" s="272"/>
      <c r="H61" s="271"/>
    </row>
    <row r="62" spans="2:8" ht="22.05" customHeight="1" x14ac:dyDescent="0.3">
      <c r="B62" s="271"/>
      <c r="C62" s="271"/>
      <c r="D62" s="271"/>
      <c r="E62" s="272"/>
      <c r="F62" s="272"/>
      <c r="G62" s="272"/>
      <c r="H62" s="271"/>
    </row>
    <row r="63" spans="2:8" ht="22.05" customHeight="1" x14ac:dyDescent="0.3">
      <c r="B63" s="271"/>
      <c r="C63" s="271"/>
      <c r="D63" s="271"/>
      <c r="E63" s="272"/>
      <c r="F63" s="272"/>
      <c r="G63" s="272"/>
      <c r="H63" s="271"/>
    </row>
    <row r="64" spans="2:8" ht="22.05" customHeight="1" x14ac:dyDescent="0.3">
      <c r="B64" s="271"/>
      <c r="C64" s="271"/>
      <c r="D64" s="271"/>
      <c r="E64" s="272"/>
      <c r="F64" s="272"/>
      <c r="G64" s="272"/>
      <c r="H64" s="271"/>
    </row>
    <row r="65" spans="2:8" ht="22.05" customHeight="1" x14ac:dyDescent="0.3">
      <c r="B65" s="271"/>
      <c r="C65" s="271"/>
      <c r="D65" s="271"/>
      <c r="E65" s="272"/>
      <c r="F65" s="272"/>
      <c r="G65" s="272"/>
      <c r="H65" s="271"/>
    </row>
    <row r="66" spans="2:8" ht="22.05" customHeight="1" x14ac:dyDescent="0.3">
      <c r="B66" s="271"/>
      <c r="C66" s="271"/>
      <c r="D66" s="271"/>
      <c r="E66" s="272"/>
      <c r="F66" s="272"/>
      <c r="G66" s="272"/>
      <c r="H66" s="271"/>
    </row>
    <row r="67" spans="2:8" ht="22.05" customHeight="1" x14ac:dyDescent="0.3">
      <c r="B67" s="271"/>
      <c r="C67" s="271"/>
      <c r="D67" s="271"/>
      <c r="E67" s="272"/>
      <c r="F67" s="272"/>
      <c r="G67" s="272"/>
      <c r="H67" s="271"/>
    </row>
    <row r="68" spans="2:8" ht="22.05" customHeight="1" x14ac:dyDescent="0.3">
      <c r="B68" s="271"/>
      <c r="C68" s="271"/>
      <c r="D68" s="271"/>
      <c r="E68" s="272"/>
      <c r="F68" s="272"/>
      <c r="G68" s="272"/>
      <c r="H68" s="271"/>
    </row>
    <row r="69" spans="2:8" ht="22.05" customHeight="1" x14ac:dyDescent="0.3">
      <c r="B69" s="271"/>
      <c r="C69" s="271"/>
      <c r="D69" s="271"/>
      <c r="E69" s="272"/>
      <c r="F69" s="272"/>
      <c r="G69" s="272"/>
      <c r="H69" s="271"/>
    </row>
    <row r="70" spans="2:8" ht="22.05" customHeight="1" x14ac:dyDescent="0.3">
      <c r="B70" s="271"/>
      <c r="C70" s="271"/>
      <c r="D70" s="271"/>
      <c r="E70" s="272"/>
      <c r="F70" s="272"/>
      <c r="G70" s="272"/>
      <c r="H70" s="271"/>
    </row>
    <row r="71" spans="2:8" ht="22.05" customHeight="1" x14ac:dyDescent="0.3">
      <c r="B71" s="271"/>
      <c r="C71" s="271"/>
      <c r="D71" s="271"/>
      <c r="E71" s="272"/>
      <c r="F71" s="272"/>
      <c r="G71" s="272"/>
      <c r="H71" s="271"/>
    </row>
    <row r="72" spans="2:8" ht="22.05" customHeight="1" x14ac:dyDescent="0.3">
      <c r="B72" s="271"/>
      <c r="C72" s="271"/>
      <c r="D72" s="271"/>
      <c r="E72" s="272"/>
      <c r="F72" s="272"/>
      <c r="G72" s="272"/>
      <c r="H72" s="271"/>
    </row>
    <row r="73" spans="2:8" ht="22.05" customHeight="1" x14ac:dyDescent="0.3">
      <c r="B73" s="271"/>
      <c r="C73" s="271"/>
      <c r="D73" s="271"/>
      <c r="E73" s="272"/>
      <c r="F73" s="272"/>
      <c r="G73" s="272"/>
      <c r="H73" s="271"/>
    </row>
    <row r="74" spans="2:8" ht="22.05" customHeight="1" x14ac:dyDescent="0.3">
      <c r="B74" s="271"/>
      <c r="C74" s="271"/>
      <c r="D74" s="271"/>
      <c r="E74" s="272"/>
      <c r="F74" s="272"/>
      <c r="G74" s="272"/>
      <c r="H74" s="271"/>
    </row>
    <row r="75" spans="2:8" ht="22.05" customHeight="1" x14ac:dyDescent="0.3">
      <c r="B75" s="271"/>
      <c r="C75" s="271"/>
      <c r="D75" s="271"/>
      <c r="E75" s="272"/>
      <c r="F75" s="272"/>
      <c r="G75" s="272"/>
      <c r="H75" s="271"/>
    </row>
    <row r="76" spans="2:8" ht="22.05" customHeight="1" x14ac:dyDescent="0.3">
      <c r="B76" s="271"/>
      <c r="C76" s="271"/>
      <c r="D76" s="271"/>
      <c r="E76" s="272"/>
      <c r="F76" s="272"/>
      <c r="G76" s="272"/>
      <c r="H76" s="271"/>
    </row>
    <row r="77" spans="2:8" ht="22.05" customHeight="1" x14ac:dyDescent="0.3">
      <c r="B77" s="271"/>
      <c r="C77" s="271"/>
      <c r="D77" s="271"/>
      <c r="E77" s="272"/>
      <c r="F77" s="272"/>
      <c r="G77" s="272"/>
      <c r="H77" s="271"/>
    </row>
    <row r="78" spans="2:8" ht="22.05" customHeight="1" x14ac:dyDescent="0.3">
      <c r="B78" s="271"/>
      <c r="C78" s="271"/>
      <c r="D78" s="271"/>
      <c r="E78" s="272"/>
      <c r="F78" s="272"/>
      <c r="G78" s="272"/>
      <c r="H78" s="271"/>
    </row>
    <row r="79" spans="2:8" ht="22.05" customHeight="1" x14ac:dyDescent="0.3">
      <c r="B79" s="271"/>
      <c r="C79" s="271"/>
      <c r="D79" s="271"/>
      <c r="E79" s="272"/>
      <c r="F79" s="272"/>
      <c r="G79" s="272"/>
      <c r="H79" s="271"/>
    </row>
    <row r="80" spans="2:8" ht="22.05" customHeight="1" x14ac:dyDescent="0.3">
      <c r="B80" s="271"/>
      <c r="C80" s="271"/>
      <c r="D80" s="271"/>
      <c r="E80" s="272"/>
      <c r="F80" s="272"/>
      <c r="G80" s="272"/>
      <c r="H80" s="271"/>
    </row>
    <row r="81" spans="2:8" ht="22.05" customHeight="1" x14ac:dyDescent="0.3">
      <c r="B81" s="271"/>
      <c r="C81" s="271"/>
      <c r="D81" s="271"/>
      <c r="E81" s="272"/>
      <c r="F81" s="272"/>
      <c r="G81" s="272"/>
      <c r="H81" s="271"/>
    </row>
    <row r="82" spans="2:8" ht="22.05" customHeight="1" x14ac:dyDescent="0.3">
      <c r="B82" s="271"/>
      <c r="C82" s="271"/>
      <c r="D82" s="271"/>
      <c r="E82" s="272"/>
      <c r="F82" s="272"/>
      <c r="G82" s="272"/>
      <c r="H82" s="271"/>
    </row>
    <row r="83" spans="2:8" ht="22.05" customHeight="1" x14ac:dyDescent="0.3">
      <c r="B83" s="271"/>
      <c r="C83" s="271"/>
      <c r="D83" s="271"/>
      <c r="E83" s="272"/>
      <c r="F83" s="272"/>
      <c r="G83" s="272"/>
      <c r="H83" s="271"/>
    </row>
    <row r="84" spans="2:8" ht="22.05" customHeight="1" x14ac:dyDescent="0.3">
      <c r="B84" s="271"/>
      <c r="C84" s="271"/>
      <c r="D84" s="271"/>
      <c r="E84" s="272"/>
      <c r="F84" s="272"/>
      <c r="G84" s="272"/>
      <c r="H84" s="271"/>
    </row>
    <row r="85" spans="2:8" ht="22.05" customHeight="1" x14ac:dyDescent="0.3">
      <c r="B85" s="271"/>
      <c r="C85" s="271"/>
      <c r="D85" s="271"/>
      <c r="E85" s="272"/>
      <c r="F85" s="272"/>
      <c r="G85" s="272"/>
      <c r="H85" s="271"/>
    </row>
    <row r="86" spans="2:8" ht="22.05" customHeight="1" x14ac:dyDescent="0.3">
      <c r="B86" s="271"/>
      <c r="C86" s="271"/>
      <c r="D86" s="271"/>
      <c r="E86" s="272"/>
      <c r="F86" s="272"/>
      <c r="G86" s="272"/>
      <c r="H86" s="271"/>
    </row>
    <row r="87" spans="2:8" ht="22.05" customHeight="1" x14ac:dyDescent="0.3">
      <c r="B87" s="271"/>
      <c r="C87" s="271"/>
      <c r="D87" s="271"/>
      <c r="E87" s="272"/>
      <c r="F87" s="272"/>
      <c r="G87" s="272"/>
      <c r="H87" s="271"/>
    </row>
    <row r="88" spans="2:8" ht="22.05" customHeight="1" x14ac:dyDescent="0.3">
      <c r="B88" s="271"/>
      <c r="C88" s="271"/>
      <c r="D88" s="271"/>
      <c r="E88" s="272"/>
      <c r="F88" s="272"/>
      <c r="G88" s="272"/>
      <c r="H88" s="271"/>
    </row>
    <row r="89" spans="2:8" ht="22.05" customHeight="1" x14ac:dyDescent="0.3">
      <c r="B89" s="271"/>
      <c r="C89" s="271"/>
      <c r="D89" s="271"/>
      <c r="E89" s="272"/>
      <c r="F89" s="272"/>
      <c r="G89" s="272"/>
      <c r="H89" s="271"/>
    </row>
    <row r="90" spans="2:8" ht="22.05" customHeight="1" x14ac:dyDescent="0.3">
      <c r="B90" s="271"/>
      <c r="C90" s="271"/>
      <c r="D90" s="271"/>
      <c r="E90" s="272"/>
      <c r="F90" s="272"/>
      <c r="G90" s="272"/>
      <c r="H90" s="271"/>
    </row>
    <row r="91" spans="2:8" ht="22.05" customHeight="1" x14ac:dyDescent="0.3">
      <c r="B91" s="271"/>
      <c r="C91" s="271"/>
      <c r="D91" s="271"/>
      <c r="E91" s="272"/>
      <c r="F91" s="272"/>
      <c r="G91" s="272"/>
      <c r="H91" s="271"/>
    </row>
    <row r="92" spans="2:8" ht="22.05" customHeight="1" x14ac:dyDescent="0.3">
      <c r="B92" s="271"/>
      <c r="C92" s="271"/>
      <c r="D92" s="271"/>
      <c r="E92" s="272"/>
      <c r="F92" s="272"/>
      <c r="G92" s="272"/>
      <c r="H92" s="271"/>
    </row>
    <row r="93" spans="2:8" ht="22.05" customHeight="1" x14ac:dyDescent="0.3">
      <c r="B93" s="271"/>
      <c r="C93" s="271"/>
      <c r="D93" s="271"/>
      <c r="E93" s="272"/>
      <c r="F93" s="272"/>
      <c r="G93" s="272"/>
      <c r="H93" s="271"/>
    </row>
    <row r="94" spans="2:8" ht="22.05" customHeight="1" x14ac:dyDescent="0.3">
      <c r="B94" s="271"/>
      <c r="C94" s="271"/>
      <c r="D94" s="271"/>
      <c r="E94" s="272"/>
      <c r="F94" s="272"/>
      <c r="G94" s="272"/>
      <c r="H94" s="271"/>
    </row>
    <row r="95" spans="2:8" ht="22.05" customHeight="1" x14ac:dyDescent="0.3">
      <c r="B95" s="271"/>
      <c r="C95" s="271"/>
      <c r="D95" s="271"/>
      <c r="E95" s="272"/>
      <c r="F95" s="272"/>
      <c r="G95" s="272"/>
      <c r="H95" s="271"/>
    </row>
    <row r="96" spans="2:8" ht="22.05" customHeight="1" x14ac:dyDescent="0.3">
      <c r="B96" s="271"/>
      <c r="C96" s="271"/>
      <c r="D96" s="271"/>
      <c r="E96" s="272"/>
      <c r="F96" s="272"/>
      <c r="G96" s="272"/>
      <c r="H96" s="271"/>
    </row>
    <row r="97" spans="2:8" ht="22.05" customHeight="1" x14ac:dyDescent="0.3">
      <c r="B97" s="271"/>
      <c r="C97" s="271"/>
      <c r="D97" s="271"/>
      <c r="E97" s="272"/>
      <c r="F97" s="272"/>
      <c r="G97" s="272"/>
      <c r="H97" s="271"/>
    </row>
    <row r="98" spans="2:8" ht="22.05" customHeight="1" x14ac:dyDescent="0.3">
      <c r="B98" s="271"/>
      <c r="C98" s="271"/>
      <c r="D98" s="271"/>
      <c r="E98" s="272"/>
      <c r="F98" s="272"/>
      <c r="G98" s="272"/>
      <c r="H98" s="271"/>
    </row>
    <row r="99" spans="2:8" ht="22.05" customHeight="1" x14ac:dyDescent="0.3">
      <c r="B99" s="271"/>
      <c r="C99" s="271"/>
      <c r="D99" s="271"/>
      <c r="E99" s="272"/>
      <c r="F99" s="272"/>
      <c r="G99" s="272"/>
      <c r="H99" s="271"/>
    </row>
    <row r="100" spans="2:8" ht="22.05" customHeight="1" x14ac:dyDescent="0.3">
      <c r="B100" s="271"/>
      <c r="C100" s="271"/>
      <c r="D100" s="271"/>
      <c r="E100" s="272"/>
      <c r="F100" s="272"/>
      <c r="G100" s="272"/>
      <c r="H100" s="271"/>
    </row>
    <row r="101" spans="2:8" ht="22.05" customHeight="1" x14ac:dyDescent="0.3">
      <c r="B101" s="271"/>
      <c r="C101" s="271"/>
      <c r="D101" s="271"/>
      <c r="E101" s="272"/>
      <c r="F101" s="272"/>
      <c r="G101" s="272"/>
      <c r="H101" s="271"/>
    </row>
    <row r="102" spans="2:8" ht="22.05" customHeight="1" x14ac:dyDescent="0.3">
      <c r="B102" s="271"/>
      <c r="C102" s="271"/>
      <c r="D102" s="271"/>
      <c r="E102" s="272"/>
      <c r="F102" s="272"/>
      <c r="G102" s="272"/>
      <c r="H102" s="271"/>
    </row>
    <row r="103" spans="2:8" ht="22.05" customHeight="1" x14ac:dyDescent="0.3">
      <c r="B103" s="271"/>
      <c r="C103" s="271"/>
      <c r="D103" s="271"/>
      <c r="E103" s="272"/>
      <c r="F103" s="272"/>
      <c r="G103" s="272"/>
      <c r="H103" s="271"/>
    </row>
    <row r="104" spans="2:8" ht="22.05" customHeight="1" x14ac:dyDescent="0.3">
      <c r="B104" s="271"/>
      <c r="C104" s="271"/>
      <c r="D104" s="271"/>
      <c r="E104" s="272"/>
      <c r="F104" s="272"/>
      <c r="G104" s="272"/>
      <c r="H104" s="271"/>
    </row>
    <row r="105" spans="2:8" ht="22.05" customHeight="1" x14ac:dyDescent="0.3">
      <c r="B105" s="271"/>
      <c r="C105" s="271"/>
      <c r="D105" s="271"/>
      <c r="E105" s="272"/>
      <c r="F105" s="272"/>
      <c r="G105" s="272"/>
      <c r="H105" s="271"/>
    </row>
    <row r="106" spans="2:8" ht="22.05" customHeight="1" x14ac:dyDescent="0.3">
      <c r="B106" s="271"/>
      <c r="C106" s="271"/>
      <c r="D106" s="271"/>
      <c r="E106" s="272"/>
      <c r="F106" s="272"/>
      <c r="G106" s="272"/>
      <c r="H106" s="271"/>
    </row>
    <row r="107" spans="2:8" ht="22.05" customHeight="1" x14ac:dyDescent="0.3">
      <c r="B107" s="271"/>
      <c r="C107" s="271"/>
      <c r="D107" s="271"/>
      <c r="E107" s="272"/>
      <c r="F107" s="272"/>
      <c r="G107" s="272"/>
      <c r="H107" s="271"/>
    </row>
    <row r="108" spans="2:8" ht="22.05" customHeight="1" x14ac:dyDescent="0.3">
      <c r="B108" s="271"/>
      <c r="C108" s="271"/>
      <c r="D108" s="271"/>
      <c r="E108" s="272"/>
      <c r="F108" s="272"/>
      <c r="G108" s="272"/>
      <c r="H108" s="271"/>
    </row>
    <row r="109" spans="2:8" ht="22.05" customHeight="1" x14ac:dyDescent="0.3">
      <c r="B109" s="271"/>
      <c r="C109" s="271"/>
      <c r="D109" s="271"/>
      <c r="E109" s="272"/>
      <c r="F109" s="272"/>
      <c r="G109" s="272"/>
      <c r="H109" s="271"/>
    </row>
    <row r="110" spans="2:8" ht="22.05" customHeight="1" x14ac:dyDescent="0.3">
      <c r="B110" s="271"/>
      <c r="C110" s="271"/>
      <c r="D110" s="271"/>
      <c r="E110" s="272"/>
      <c r="F110" s="272"/>
      <c r="G110" s="272"/>
      <c r="H110" s="271"/>
    </row>
    <row r="111" spans="2:8" ht="22.05" customHeight="1" x14ac:dyDescent="0.3">
      <c r="B111" s="271"/>
      <c r="C111" s="271"/>
      <c r="D111" s="271"/>
      <c r="E111" s="272"/>
      <c r="F111" s="272"/>
      <c r="G111" s="272"/>
      <c r="H111" s="271"/>
    </row>
    <row r="112" spans="2:8" ht="22.05" customHeight="1" x14ac:dyDescent="0.3">
      <c r="B112" s="271"/>
      <c r="C112" s="271"/>
      <c r="D112" s="271"/>
      <c r="E112" s="272"/>
      <c r="F112" s="272"/>
      <c r="G112" s="272"/>
      <c r="H112" s="271"/>
    </row>
    <row r="113" spans="2:8" ht="22.05" customHeight="1" x14ac:dyDescent="0.3">
      <c r="B113" s="271"/>
      <c r="C113" s="271"/>
      <c r="D113" s="271"/>
      <c r="E113" s="272"/>
      <c r="F113" s="272"/>
      <c r="G113" s="272"/>
      <c r="H113" s="271"/>
    </row>
    <row r="114" spans="2:8" ht="22.05" customHeight="1" x14ac:dyDescent="0.3">
      <c r="B114" s="271"/>
      <c r="C114" s="271"/>
      <c r="D114" s="271"/>
      <c r="E114" s="272"/>
      <c r="F114" s="272"/>
      <c r="G114" s="272"/>
      <c r="H114" s="271"/>
    </row>
    <row r="115" spans="2:8" ht="22.05" customHeight="1" x14ac:dyDescent="0.3">
      <c r="B115" s="271"/>
      <c r="C115" s="271"/>
      <c r="D115" s="271"/>
      <c r="E115" s="272"/>
      <c r="F115" s="272"/>
      <c r="G115" s="272"/>
      <c r="H115" s="271"/>
    </row>
    <row r="116" spans="2:8" ht="22.05" customHeight="1" x14ac:dyDescent="0.3">
      <c r="B116" s="271"/>
      <c r="C116" s="271"/>
      <c r="D116" s="271"/>
      <c r="E116" s="272"/>
      <c r="F116" s="272"/>
      <c r="G116" s="272"/>
      <c r="H116" s="271"/>
    </row>
    <row r="117" spans="2:8" ht="22.05" customHeight="1" x14ac:dyDescent="0.3">
      <c r="B117" s="271"/>
      <c r="C117" s="271"/>
      <c r="D117" s="271"/>
      <c r="E117" s="272"/>
      <c r="F117" s="272"/>
      <c r="G117" s="272"/>
      <c r="H117" s="271"/>
    </row>
    <row r="118" spans="2:8" ht="22.05" customHeight="1" x14ac:dyDescent="0.3">
      <c r="B118" s="271"/>
      <c r="C118" s="271"/>
      <c r="D118" s="271"/>
      <c r="E118" s="272"/>
      <c r="F118" s="272"/>
      <c r="G118" s="272"/>
      <c r="H118" s="271"/>
    </row>
    <row r="119" spans="2:8" ht="22.05" customHeight="1" x14ac:dyDescent="0.3">
      <c r="B119" s="271"/>
      <c r="C119" s="271"/>
      <c r="D119" s="271"/>
      <c r="E119" s="272"/>
      <c r="F119" s="272"/>
      <c r="G119" s="272"/>
      <c r="H119" s="271"/>
    </row>
    <row r="120" spans="2:8" ht="22.05" customHeight="1" x14ac:dyDescent="0.3">
      <c r="B120" s="271"/>
      <c r="C120" s="271"/>
      <c r="D120" s="271"/>
      <c r="E120" s="272"/>
      <c r="F120" s="272"/>
      <c r="G120" s="272"/>
      <c r="H120" s="271"/>
    </row>
    <row r="121" spans="2:8" ht="22.05" customHeight="1" x14ac:dyDescent="0.3">
      <c r="B121" s="271"/>
      <c r="C121" s="271"/>
      <c r="D121" s="271"/>
      <c r="E121" s="272"/>
      <c r="F121" s="272"/>
      <c r="G121" s="272"/>
      <c r="H121" s="271"/>
    </row>
    <row r="122" spans="2:8" ht="22.05" customHeight="1" x14ac:dyDescent="0.3">
      <c r="B122" s="271"/>
      <c r="C122" s="271"/>
      <c r="D122" s="271"/>
      <c r="E122" s="272"/>
      <c r="F122" s="272"/>
      <c r="G122" s="272"/>
      <c r="H122" s="271"/>
    </row>
    <row r="123" spans="2:8" ht="22.05" customHeight="1" x14ac:dyDescent="0.3">
      <c r="B123" s="271"/>
      <c r="C123" s="271"/>
      <c r="D123" s="271"/>
      <c r="E123" s="272"/>
      <c r="F123" s="272"/>
      <c r="G123" s="272"/>
      <c r="H123" s="271"/>
    </row>
    <row r="124" spans="2:8" ht="22.05" customHeight="1" x14ac:dyDescent="0.3">
      <c r="B124" s="271"/>
      <c r="C124" s="271"/>
      <c r="D124" s="271"/>
      <c r="E124" s="272"/>
      <c r="F124" s="272"/>
      <c r="G124" s="272"/>
      <c r="H124" s="271"/>
    </row>
    <row r="125" spans="2:8" ht="22.05" customHeight="1" x14ac:dyDescent="0.3">
      <c r="B125" s="271"/>
      <c r="C125" s="271"/>
      <c r="D125" s="271"/>
      <c r="E125" s="272"/>
      <c r="F125" s="272"/>
      <c r="G125" s="272"/>
      <c r="H125" s="271"/>
    </row>
    <row r="126" spans="2:8" ht="22.05" customHeight="1" x14ac:dyDescent="0.3">
      <c r="B126" s="271"/>
      <c r="C126" s="271"/>
      <c r="D126" s="271"/>
      <c r="E126" s="272"/>
      <c r="F126" s="272"/>
      <c r="G126" s="272"/>
      <c r="H126" s="271"/>
    </row>
    <row r="127" spans="2:8" ht="22.05" customHeight="1" x14ac:dyDescent="0.3">
      <c r="B127" s="271"/>
      <c r="C127" s="271"/>
      <c r="D127" s="271"/>
      <c r="E127" s="272"/>
      <c r="F127" s="272"/>
      <c r="G127" s="272"/>
      <c r="H127" s="271"/>
    </row>
    <row r="128" spans="2:8" ht="22.05" customHeight="1" x14ac:dyDescent="0.3">
      <c r="B128" s="271"/>
      <c r="C128" s="271"/>
      <c r="D128" s="271"/>
      <c r="E128" s="272"/>
      <c r="F128" s="272"/>
      <c r="G128" s="272"/>
      <c r="H128" s="271"/>
    </row>
    <row r="129" spans="2:8" ht="22.05" customHeight="1" x14ac:dyDescent="0.3">
      <c r="B129" s="271"/>
      <c r="C129" s="271"/>
      <c r="D129" s="271"/>
      <c r="E129" s="272"/>
      <c r="F129" s="272"/>
      <c r="G129" s="272"/>
      <c r="H129" s="271"/>
    </row>
    <row r="130" spans="2:8" ht="22.05" customHeight="1" x14ac:dyDescent="0.3">
      <c r="B130" s="271"/>
      <c r="C130" s="271"/>
      <c r="D130" s="271"/>
      <c r="E130" s="272"/>
      <c r="F130" s="272"/>
      <c r="G130" s="272"/>
      <c r="H130" s="271"/>
    </row>
    <row r="131" spans="2:8" ht="22.05" customHeight="1" x14ac:dyDescent="0.3">
      <c r="B131" s="271"/>
      <c r="C131" s="271"/>
      <c r="D131" s="271"/>
      <c r="E131" s="272"/>
      <c r="F131" s="272"/>
      <c r="G131" s="272"/>
      <c r="H131" s="271"/>
    </row>
    <row r="132" spans="2:8" ht="22.05" customHeight="1" x14ac:dyDescent="0.3">
      <c r="B132" s="271"/>
      <c r="C132" s="271"/>
      <c r="D132" s="271"/>
      <c r="E132" s="272"/>
      <c r="F132" s="272"/>
      <c r="G132" s="272"/>
      <c r="H132" s="271"/>
    </row>
    <row r="133" spans="2:8" ht="22.05" customHeight="1" x14ac:dyDescent="0.3">
      <c r="B133" s="271"/>
      <c r="C133" s="271"/>
      <c r="D133" s="271"/>
      <c r="E133" s="272"/>
      <c r="F133" s="272"/>
      <c r="G133" s="272"/>
      <c r="H133" s="271"/>
    </row>
    <row r="134" spans="2:8" ht="22.05" customHeight="1" x14ac:dyDescent="0.3">
      <c r="B134" s="271"/>
      <c r="C134" s="271"/>
      <c r="D134" s="271"/>
      <c r="E134" s="272"/>
      <c r="F134" s="272"/>
      <c r="G134" s="272"/>
      <c r="H134" s="271"/>
    </row>
    <row r="135" spans="2:8" ht="22.05" customHeight="1" x14ac:dyDescent="0.3">
      <c r="B135" s="271"/>
      <c r="C135" s="271"/>
      <c r="D135" s="271"/>
      <c r="E135" s="272"/>
      <c r="F135" s="272"/>
      <c r="G135" s="272"/>
      <c r="H135" s="271"/>
    </row>
    <row r="136" spans="2:8" ht="22.05" customHeight="1" x14ac:dyDescent="0.3">
      <c r="B136" s="271"/>
      <c r="C136" s="271"/>
      <c r="D136" s="271"/>
      <c r="E136" s="272"/>
      <c r="F136" s="272"/>
      <c r="G136" s="272"/>
      <c r="H136" s="271"/>
    </row>
    <row r="137" spans="2:8" ht="22.05" customHeight="1" x14ac:dyDescent="0.3">
      <c r="B137" s="271"/>
      <c r="C137" s="271"/>
      <c r="D137" s="271"/>
      <c r="E137" s="272"/>
      <c r="F137" s="272"/>
      <c r="G137" s="272"/>
      <c r="H137" s="271"/>
    </row>
    <row r="138" spans="2:8" ht="22.05" customHeight="1" x14ac:dyDescent="0.3">
      <c r="B138" s="271"/>
      <c r="C138" s="271"/>
      <c r="D138" s="271"/>
      <c r="E138" s="272"/>
      <c r="F138" s="272"/>
      <c r="G138" s="272"/>
      <c r="H138" s="271"/>
    </row>
    <row r="139" spans="2:8" ht="22.05" customHeight="1" x14ac:dyDescent="0.3">
      <c r="B139" s="271"/>
      <c r="C139" s="271"/>
      <c r="D139" s="271"/>
      <c r="E139" s="272"/>
      <c r="F139" s="272"/>
      <c r="G139" s="272"/>
      <c r="H139" s="271"/>
    </row>
    <row r="140" spans="2:8" ht="22.05" customHeight="1" x14ac:dyDescent="0.3">
      <c r="B140" s="271"/>
      <c r="C140" s="271"/>
      <c r="D140" s="271"/>
      <c r="E140" s="272"/>
      <c r="F140" s="272"/>
      <c r="G140" s="272"/>
      <c r="H140" s="271"/>
    </row>
    <row r="141" spans="2:8" ht="22.05" customHeight="1" x14ac:dyDescent="0.3">
      <c r="B141" s="271"/>
      <c r="C141" s="271"/>
      <c r="D141" s="271"/>
      <c r="E141" s="272"/>
      <c r="F141" s="272"/>
      <c r="G141" s="272"/>
      <c r="H141" s="271"/>
    </row>
    <row r="142" spans="2:8" ht="22.05" customHeight="1" x14ac:dyDescent="0.3">
      <c r="B142" s="271"/>
      <c r="C142" s="271"/>
      <c r="D142" s="271"/>
      <c r="E142" s="272"/>
      <c r="F142" s="272"/>
      <c r="G142" s="272"/>
      <c r="H142" s="271"/>
    </row>
    <row r="143" spans="2:8" ht="22.05" customHeight="1" x14ac:dyDescent="0.3">
      <c r="B143" s="271"/>
      <c r="C143" s="271"/>
      <c r="D143" s="271"/>
      <c r="E143" s="272"/>
      <c r="F143" s="272"/>
      <c r="G143" s="272"/>
      <c r="H143" s="271"/>
    </row>
    <row r="144" spans="2:8" ht="22.05" customHeight="1" x14ac:dyDescent="0.3">
      <c r="B144" s="271"/>
      <c r="C144" s="271"/>
      <c r="D144" s="271"/>
      <c r="E144" s="272"/>
      <c r="F144" s="272"/>
      <c r="G144" s="272"/>
      <c r="H144" s="271"/>
    </row>
    <row r="145" spans="2:8" ht="22.05" customHeight="1" x14ac:dyDescent="0.3">
      <c r="B145" s="271"/>
      <c r="C145" s="271"/>
      <c r="D145" s="271"/>
      <c r="E145" s="272"/>
      <c r="F145" s="272"/>
      <c r="G145" s="272"/>
      <c r="H145" s="271"/>
    </row>
    <row r="146" spans="2:8" ht="22.05" customHeight="1" x14ac:dyDescent="0.3">
      <c r="B146" s="271"/>
      <c r="C146" s="271"/>
      <c r="D146" s="271"/>
      <c r="E146" s="272"/>
      <c r="F146" s="272"/>
      <c r="G146" s="272"/>
      <c r="H146" s="271"/>
    </row>
    <row r="147" spans="2:8" ht="22.05" customHeight="1" x14ac:dyDescent="0.3">
      <c r="B147" s="271"/>
      <c r="C147" s="271"/>
      <c r="D147" s="271"/>
      <c r="E147" s="272"/>
      <c r="F147" s="272"/>
      <c r="G147" s="272"/>
      <c r="H147" s="271"/>
    </row>
    <row r="148" spans="2:8" ht="22.05" customHeight="1" x14ac:dyDescent="0.3">
      <c r="B148" s="271"/>
      <c r="C148" s="271"/>
      <c r="D148" s="271"/>
      <c r="E148" s="272"/>
      <c r="F148" s="272"/>
      <c r="G148" s="272"/>
      <c r="H148" s="271"/>
    </row>
    <row r="149" spans="2:8" ht="22.05" customHeight="1" x14ac:dyDescent="0.3">
      <c r="B149" s="271"/>
      <c r="C149" s="271"/>
      <c r="D149" s="271"/>
      <c r="E149" s="272"/>
      <c r="F149" s="272"/>
      <c r="G149" s="272"/>
      <c r="H149" s="271"/>
    </row>
    <row r="150" spans="2:8" ht="22.05" customHeight="1" x14ac:dyDescent="0.3">
      <c r="B150" s="271"/>
      <c r="C150" s="271"/>
      <c r="D150" s="271"/>
      <c r="E150" s="272"/>
      <c r="F150" s="272"/>
      <c r="G150" s="272"/>
      <c r="H150" s="271"/>
    </row>
    <row r="151" spans="2:8" ht="22.05" customHeight="1" x14ac:dyDescent="0.3">
      <c r="B151" s="271"/>
      <c r="C151" s="271"/>
      <c r="D151" s="271"/>
      <c r="E151" s="272"/>
      <c r="F151" s="272"/>
      <c r="G151" s="272"/>
      <c r="H151" s="271"/>
    </row>
    <row r="152" spans="2:8" ht="22.05" customHeight="1" x14ac:dyDescent="0.3">
      <c r="B152" s="271"/>
      <c r="C152" s="271"/>
      <c r="D152" s="271"/>
      <c r="E152" s="272"/>
      <c r="F152" s="272"/>
      <c r="G152" s="272"/>
      <c r="H152" s="271"/>
    </row>
    <row r="153" spans="2:8" ht="22.05" customHeight="1" x14ac:dyDescent="0.3">
      <c r="B153" s="271"/>
      <c r="C153" s="271"/>
      <c r="D153" s="271"/>
      <c r="E153" s="272"/>
      <c r="F153" s="272"/>
      <c r="G153" s="272"/>
      <c r="H153" s="271"/>
    </row>
    <row r="154" spans="2:8" ht="22.05" customHeight="1" x14ac:dyDescent="0.3">
      <c r="B154" s="271"/>
      <c r="C154" s="271"/>
      <c r="D154" s="271"/>
      <c r="E154" s="272"/>
      <c r="F154" s="272"/>
      <c r="G154" s="272"/>
      <c r="H154" s="271"/>
    </row>
    <row r="155" spans="2:8" ht="22.05" customHeight="1" x14ac:dyDescent="0.3">
      <c r="B155" s="271"/>
      <c r="C155" s="271"/>
      <c r="D155" s="271"/>
      <c r="E155" s="272"/>
      <c r="F155" s="272"/>
      <c r="G155" s="272"/>
      <c r="H155" s="271"/>
    </row>
    <row r="156" spans="2:8" ht="22.05" customHeight="1" x14ac:dyDescent="0.3">
      <c r="B156" s="271"/>
      <c r="C156" s="271"/>
      <c r="D156" s="271"/>
      <c r="E156" s="272"/>
      <c r="F156" s="272"/>
      <c r="G156" s="272"/>
      <c r="H156" s="271"/>
    </row>
    <row r="157" spans="2:8" ht="22.05" customHeight="1" x14ac:dyDescent="0.3">
      <c r="B157" s="271"/>
      <c r="C157" s="271"/>
      <c r="D157" s="271"/>
      <c r="E157" s="272"/>
      <c r="F157" s="272"/>
      <c r="G157" s="272"/>
      <c r="H157" s="271"/>
    </row>
    <row r="158" spans="2:8" ht="22.05" customHeight="1" x14ac:dyDescent="0.3">
      <c r="B158" s="271"/>
      <c r="C158" s="271"/>
      <c r="D158" s="271"/>
      <c r="E158" s="272"/>
      <c r="F158" s="272"/>
      <c r="G158" s="272"/>
      <c r="H158" s="271"/>
    </row>
    <row r="159" spans="2:8" ht="22.05" customHeight="1" x14ac:dyDescent="0.3">
      <c r="B159" s="271"/>
      <c r="C159" s="271"/>
      <c r="D159" s="271"/>
      <c r="E159" s="272"/>
      <c r="F159" s="272"/>
      <c r="G159" s="272"/>
      <c r="H159" s="271"/>
    </row>
    <row r="160" spans="2:8" ht="22.05" customHeight="1" x14ac:dyDescent="0.3">
      <c r="B160" s="271"/>
      <c r="C160" s="271"/>
      <c r="D160" s="271"/>
      <c r="E160" s="272"/>
      <c r="F160" s="272"/>
      <c r="G160" s="272"/>
      <c r="H160" s="271"/>
    </row>
    <row r="161" spans="2:8" ht="22.05" customHeight="1" x14ac:dyDescent="0.3">
      <c r="B161" s="271"/>
      <c r="C161" s="271"/>
      <c r="D161" s="271"/>
      <c r="E161" s="272"/>
      <c r="F161" s="272"/>
      <c r="G161" s="272"/>
      <c r="H161" s="271"/>
    </row>
    <row r="162" spans="2:8" ht="22.05" customHeight="1" x14ac:dyDescent="0.3">
      <c r="B162" s="271"/>
      <c r="C162" s="271"/>
      <c r="D162" s="271"/>
      <c r="E162" s="272"/>
      <c r="F162" s="272"/>
      <c r="G162" s="272"/>
      <c r="H162" s="271"/>
    </row>
    <row r="163" spans="2:8" ht="22.05" customHeight="1" x14ac:dyDescent="0.3">
      <c r="B163" s="271"/>
      <c r="C163" s="271"/>
      <c r="D163" s="271"/>
      <c r="E163" s="272"/>
      <c r="F163" s="272"/>
      <c r="G163" s="272"/>
      <c r="H163" s="271"/>
    </row>
    <row r="164" spans="2:8" ht="22.05" customHeight="1" x14ac:dyDescent="0.3">
      <c r="B164" s="271"/>
      <c r="C164" s="271"/>
      <c r="D164" s="271"/>
      <c r="E164" s="272"/>
      <c r="F164" s="272"/>
      <c r="G164" s="272"/>
      <c r="H164" s="271"/>
    </row>
    <row r="165" spans="2:8" ht="22.05" customHeight="1" x14ac:dyDescent="0.3">
      <c r="B165" s="271"/>
      <c r="C165" s="271"/>
      <c r="D165" s="271"/>
      <c r="E165" s="272"/>
      <c r="F165" s="272"/>
      <c r="G165" s="272"/>
      <c r="H165" s="271"/>
    </row>
    <row r="166" spans="2:8" ht="22.05" customHeight="1" x14ac:dyDescent="0.3">
      <c r="B166" s="271"/>
      <c r="C166" s="271"/>
      <c r="D166" s="271"/>
      <c r="E166" s="272"/>
      <c r="F166" s="272"/>
      <c r="G166" s="272"/>
      <c r="H166" s="271"/>
    </row>
    <row r="167" spans="2:8" ht="22.05" customHeight="1" x14ac:dyDescent="0.3">
      <c r="B167" s="271"/>
      <c r="C167" s="271"/>
      <c r="D167" s="271"/>
      <c r="E167" s="272"/>
      <c r="F167" s="272"/>
      <c r="G167" s="272"/>
      <c r="H167" s="271"/>
    </row>
    <row r="168" spans="2:8" ht="22.05" customHeight="1" x14ac:dyDescent="0.3">
      <c r="B168" s="271"/>
      <c r="C168" s="271"/>
      <c r="D168" s="271"/>
      <c r="E168" s="272"/>
      <c r="F168" s="272"/>
      <c r="G168" s="272"/>
      <c r="H168" s="271"/>
    </row>
    <row r="169" spans="2:8" ht="22.05" customHeight="1" x14ac:dyDescent="0.3">
      <c r="B169" s="271"/>
      <c r="C169" s="271"/>
      <c r="D169" s="271"/>
      <c r="E169" s="272"/>
      <c r="F169" s="272"/>
      <c r="G169" s="272"/>
      <c r="H169" s="271"/>
    </row>
    <row r="170" spans="2:8" ht="22.05" customHeight="1" x14ac:dyDescent="0.3">
      <c r="B170" s="271"/>
      <c r="C170" s="271"/>
      <c r="D170" s="271"/>
      <c r="E170" s="272"/>
      <c r="F170" s="272"/>
      <c r="G170" s="272"/>
      <c r="H170" s="271"/>
    </row>
    <row r="171" spans="2:8" ht="22.05" customHeight="1" x14ac:dyDescent="0.3">
      <c r="B171" s="271"/>
      <c r="C171" s="271"/>
      <c r="D171" s="271"/>
      <c r="E171" s="272"/>
      <c r="F171" s="272"/>
      <c r="G171" s="272"/>
      <c r="H171" s="271"/>
    </row>
    <row r="172" spans="2:8" ht="22.05" customHeight="1" x14ac:dyDescent="0.3">
      <c r="B172" s="271"/>
      <c r="C172" s="271"/>
      <c r="D172" s="271"/>
      <c r="E172" s="272"/>
      <c r="F172" s="272"/>
      <c r="G172" s="272"/>
      <c r="H172" s="271"/>
    </row>
    <row r="173" spans="2:8" ht="22.05" customHeight="1" x14ac:dyDescent="0.3">
      <c r="B173" s="271"/>
      <c r="C173" s="271"/>
      <c r="D173" s="271"/>
      <c r="E173" s="272"/>
      <c r="F173" s="272"/>
      <c r="G173" s="272"/>
      <c r="H173" s="271"/>
    </row>
    <row r="174" spans="2:8" ht="22.05" customHeight="1" x14ac:dyDescent="0.3">
      <c r="B174" s="271"/>
      <c r="C174" s="271"/>
      <c r="D174" s="271"/>
      <c r="E174" s="272"/>
      <c r="F174" s="272"/>
      <c r="G174" s="272"/>
      <c r="H174" s="271"/>
    </row>
    <row r="175" spans="2:8" ht="22.05" customHeight="1" x14ac:dyDescent="0.3">
      <c r="B175" s="271"/>
      <c r="C175" s="271"/>
      <c r="D175" s="271"/>
      <c r="E175" s="272"/>
      <c r="F175" s="272"/>
      <c r="G175" s="272"/>
      <c r="H175" s="271"/>
    </row>
    <row r="176" spans="2:8" ht="22.05" customHeight="1" x14ac:dyDescent="0.3">
      <c r="B176" s="271"/>
      <c r="C176" s="271"/>
      <c r="D176" s="271"/>
      <c r="E176" s="272"/>
      <c r="F176" s="272"/>
      <c r="G176" s="272"/>
      <c r="H176" s="271"/>
    </row>
    <row r="177" spans="2:8" ht="22.05" customHeight="1" x14ac:dyDescent="0.3">
      <c r="B177" s="271"/>
      <c r="C177" s="271"/>
      <c r="D177" s="271"/>
      <c r="E177" s="272"/>
      <c r="F177" s="272"/>
      <c r="G177" s="272"/>
      <c r="H177" s="271"/>
    </row>
    <row r="178" spans="2:8" ht="22.05" customHeight="1" x14ac:dyDescent="0.3">
      <c r="B178" s="271"/>
      <c r="C178" s="271"/>
      <c r="D178" s="271"/>
      <c r="E178" s="272"/>
      <c r="F178" s="272"/>
      <c r="G178" s="272"/>
      <c r="H178" s="271"/>
    </row>
    <row r="179" spans="2:8" ht="22.05" customHeight="1" x14ac:dyDescent="0.3">
      <c r="B179" s="271"/>
      <c r="C179" s="271"/>
      <c r="D179" s="271"/>
      <c r="E179" s="272"/>
      <c r="F179" s="272"/>
      <c r="G179" s="272"/>
      <c r="H179" s="271"/>
    </row>
    <row r="180" spans="2:8" ht="22.05" customHeight="1" x14ac:dyDescent="0.3">
      <c r="B180" s="271"/>
      <c r="C180" s="271"/>
      <c r="D180" s="271"/>
      <c r="E180" s="272"/>
      <c r="F180" s="272"/>
      <c r="G180" s="272"/>
      <c r="H180" s="271"/>
    </row>
    <row r="181" spans="2:8" ht="22.05" customHeight="1" x14ac:dyDescent="0.3">
      <c r="B181" s="271"/>
      <c r="C181" s="271"/>
      <c r="D181" s="271"/>
      <c r="E181" s="272"/>
      <c r="F181" s="272"/>
      <c r="G181" s="272"/>
      <c r="H181" s="271"/>
    </row>
    <row r="182" spans="2:8" ht="22.05" customHeight="1" x14ac:dyDescent="0.3">
      <c r="B182" s="271"/>
      <c r="C182" s="271"/>
      <c r="D182" s="271"/>
      <c r="E182" s="272"/>
      <c r="F182" s="272"/>
      <c r="G182" s="272"/>
      <c r="H182" s="271"/>
    </row>
    <row r="183" spans="2:8" ht="22.05" customHeight="1" x14ac:dyDescent="0.3">
      <c r="B183" s="271"/>
      <c r="C183" s="271"/>
      <c r="D183" s="271"/>
      <c r="E183" s="272"/>
      <c r="F183" s="272"/>
      <c r="G183" s="272"/>
      <c r="H183" s="271"/>
    </row>
    <row r="184" spans="2:8" ht="22.05" customHeight="1" x14ac:dyDescent="0.3">
      <c r="B184" s="271"/>
      <c r="C184" s="271"/>
      <c r="D184" s="271"/>
      <c r="E184" s="272"/>
      <c r="F184" s="272"/>
      <c r="G184" s="272"/>
      <c r="H184" s="271"/>
    </row>
    <row r="185" spans="2:8" ht="22.05" customHeight="1" x14ac:dyDescent="0.3">
      <c r="B185" s="271"/>
      <c r="C185" s="271"/>
      <c r="D185" s="271"/>
      <c r="E185" s="272"/>
      <c r="F185" s="272"/>
      <c r="G185" s="272"/>
      <c r="H185" s="271"/>
    </row>
    <row r="186" spans="2:8" ht="22.05" customHeight="1" x14ac:dyDescent="0.3">
      <c r="B186" s="271"/>
      <c r="C186" s="271"/>
      <c r="D186" s="271"/>
      <c r="E186" s="272"/>
      <c r="F186" s="272"/>
      <c r="G186" s="272"/>
      <c r="H186" s="271"/>
    </row>
    <row r="187" spans="2:8" ht="22.05" customHeight="1" x14ac:dyDescent="0.3">
      <c r="B187" s="271"/>
      <c r="C187" s="271"/>
      <c r="D187" s="271"/>
      <c r="E187" s="272"/>
      <c r="F187" s="272"/>
      <c r="G187" s="272"/>
      <c r="H187" s="271"/>
    </row>
    <row r="188" spans="2:8" ht="22.05" customHeight="1" x14ac:dyDescent="0.3">
      <c r="B188" s="271"/>
      <c r="C188" s="271"/>
      <c r="D188" s="271"/>
      <c r="E188" s="272"/>
      <c r="F188" s="272"/>
      <c r="G188" s="272"/>
      <c r="H188" s="271"/>
    </row>
    <row r="189" spans="2:8" ht="22.05" customHeight="1" x14ac:dyDescent="0.3">
      <c r="B189" s="271"/>
      <c r="C189" s="271"/>
      <c r="D189" s="271"/>
      <c r="E189" s="272"/>
      <c r="F189" s="272"/>
      <c r="G189" s="272"/>
      <c r="H189" s="271"/>
    </row>
    <row r="190" spans="2:8" ht="22.05" customHeight="1" x14ac:dyDescent="0.3">
      <c r="B190" s="271"/>
      <c r="C190" s="271"/>
      <c r="D190" s="271"/>
      <c r="E190" s="272"/>
      <c r="F190" s="272"/>
      <c r="G190" s="272"/>
      <c r="H190" s="271"/>
    </row>
    <row r="191" spans="2:8" ht="22.05" customHeight="1" x14ac:dyDescent="0.3">
      <c r="B191" s="271"/>
      <c r="C191" s="271"/>
      <c r="D191" s="271"/>
      <c r="E191" s="272"/>
      <c r="F191" s="272"/>
      <c r="G191" s="272"/>
      <c r="H191" s="271"/>
    </row>
    <row r="192" spans="2:8" ht="22.05" customHeight="1" x14ac:dyDescent="0.3">
      <c r="B192" s="271"/>
      <c r="C192" s="271"/>
      <c r="D192" s="271"/>
      <c r="E192" s="272"/>
      <c r="F192" s="272"/>
      <c r="G192" s="272"/>
      <c r="H192" s="271"/>
    </row>
    <row r="193" spans="2:8" ht="22.05" customHeight="1" x14ac:dyDescent="0.3">
      <c r="B193" s="271"/>
      <c r="C193" s="271"/>
      <c r="D193" s="271"/>
      <c r="E193" s="272"/>
      <c r="F193" s="272"/>
      <c r="G193" s="272"/>
      <c r="H193" s="271"/>
    </row>
    <row r="194" spans="2:8" ht="22.05" customHeight="1" x14ac:dyDescent="0.3">
      <c r="B194" s="271"/>
      <c r="C194" s="271"/>
      <c r="D194" s="271"/>
      <c r="E194" s="272"/>
      <c r="F194" s="272"/>
      <c r="G194" s="272"/>
      <c r="H194" s="271"/>
    </row>
    <row r="195" spans="2:8" ht="22.05" customHeight="1" x14ac:dyDescent="0.3">
      <c r="B195" s="271"/>
      <c r="C195" s="271"/>
      <c r="D195" s="271"/>
      <c r="E195" s="272"/>
      <c r="F195" s="272"/>
      <c r="G195" s="272"/>
      <c r="H195" s="271"/>
    </row>
    <row r="196" spans="2:8" ht="22.05" customHeight="1" x14ac:dyDescent="0.3">
      <c r="B196" s="271"/>
      <c r="C196" s="271"/>
      <c r="D196" s="271"/>
      <c r="E196" s="272"/>
      <c r="F196" s="272"/>
      <c r="G196" s="272"/>
      <c r="H196" s="271"/>
    </row>
    <row r="197" spans="2:8" ht="22.05" customHeight="1" x14ac:dyDescent="0.3">
      <c r="B197" s="271"/>
      <c r="C197" s="271"/>
      <c r="D197" s="271"/>
      <c r="E197" s="272"/>
      <c r="F197" s="272"/>
      <c r="G197" s="272"/>
      <c r="H197" s="271"/>
    </row>
    <row r="198" spans="2:8" ht="22.05" customHeight="1" x14ac:dyDescent="0.3">
      <c r="B198" s="271"/>
      <c r="C198" s="271"/>
      <c r="D198" s="271"/>
      <c r="E198" s="272"/>
      <c r="F198" s="272"/>
      <c r="G198" s="272"/>
      <c r="H198" s="271"/>
    </row>
    <row r="199" spans="2:8" ht="22.05" customHeight="1" x14ac:dyDescent="0.3">
      <c r="B199" s="271"/>
      <c r="C199" s="271"/>
      <c r="D199" s="271"/>
      <c r="E199" s="272"/>
      <c r="F199" s="272"/>
      <c r="G199" s="272"/>
      <c r="H199" s="271"/>
    </row>
    <row r="200" spans="2:8" ht="22.05" customHeight="1" x14ac:dyDescent="0.3">
      <c r="B200" s="271"/>
      <c r="C200" s="271"/>
      <c r="D200" s="271"/>
      <c r="E200" s="272"/>
      <c r="F200" s="272"/>
      <c r="G200" s="272"/>
      <c r="H200" s="271"/>
    </row>
  </sheetData>
  <dataValidations count="2">
    <dataValidation type="list" errorStyle="warning" allowBlank="1" showInputMessage="1" showErrorMessage="1" errorTitle="Invalid severity" error="Choose one of: Low, Mixed, Positive, High" sqref="H6:H200" xr:uid="{8B4D1119-BF1A-422E-8E26-545C5FD6FC22}">
      <formula1>"Low,Mixed,Positive,High"</formula1>
    </dataValidation>
    <dataValidation type="list" allowBlank="1" showInputMessage="1" showErrorMessage="1" sqref="D6:D200" xr:uid="{9B718232-5C97-45E0-AFCA-C5BD14BD6FAE}">
      <formula1>"FX / Macro,Recovery,Pricing / Mix,Cost Pressure,Regulation,Capex / Investment,Debt / Financing,One-off,Other"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29"/>
  <sheetViews>
    <sheetView showGridLines="0" tabSelected="1" zoomScale="110" zoomScaleNormal="10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Q6" sqref="Q6"/>
    </sheetView>
  </sheetViews>
  <sheetFormatPr defaultColWidth="8.6640625" defaultRowHeight="14.4" x14ac:dyDescent="0.3"/>
  <cols>
    <col min="1" max="1" width="0.44140625" customWidth="1"/>
    <col min="2" max="2" width="44.88671875" bestFit="1" customWidth="1"/>
    <col min="3" max="3" width="12.44140625" bestFit="1" customWidth="1"/>
    <col min="4" max="4" width="12.33203125" bestFit="1" customWidth="1"/>
    <col min="5" max="6" width="12.44140625" bestFit="1" customWidth="1"/>
    <col min="7" max="7" width="14.109375" bestFit="1" customWidth="1"/>
    <col min="8" max="11" width="12.44140625" bestFit="1" customWidth="1"/>
    <col min="12" max="12" width="14.109375" bestFit="1" customWidth="1"/>
    <col min="13" max="16" width="12.6640625" bestFit="1" customWidth="1"/>
    <col min="17" max="17" width="14.109375" bestFit="1" customWidth="1"/>
    <col min="18" max="18" width="12.6640625" bestFit="1" customWidth="1"/>
    <col min="19" max="27" width="14.109375" bestFit="1" customWidth="1"/>
    <col min="28" max="28" width="14.109375" hidden="1" customWidth="1"/>
  </cols>
  <sheetData>
    <row r="1" spans="2:28" ht="30" customHeight="1" x14ac:dyDescent="0.3">
      <c r="B1" s="293" t="s">
        <v>12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</row>
    <row r="2" spans="2:28" ht="21.75" customHeight="1" x14ac:dyDescent="0.3">
      <c r="C2" s="294" t="s">
        <v>6</v>
      </c>
      <c r="D2" s="294"/>
      <c r="E2" s="294"/>
      <c r="F2" s="294"/>
      <c r="G2" s="294"/>
      <c r="H2" s="295" t="s">
        <v>7</v>
      </c>
      <c r="I2" s="295"/>
      <c r="J2" s="295"/>
      <c r="K2" s="295"/>
      <c r="L2" s="295"/>
      <c r="M2" s="294" t="s">
        <v>8</v>
      </c>
      <c r="N2" s="294"/>
      <c r="O2" s="294"/>
      <c r="P2" s="294"/>
      <c r="Q2" s="294"/>
      <c r="R2" s="295" t="s">
        <v>9</v>
      </c>
      <c r="S2" s="295"/>
      <c r="T2" s="295"/>
      <c r="U2" s="295"/>
      <c r="V2" s="295"/>
      <c r="W2" s="294" t="s">
        <v>10</v>
      </c>
      <c r="X2" s="294"/>
      <c r="Y2" s="294"/>
      <c r="Z2" s="294"/>
      <c r="AA2" s="294"/>
      <c r="AB2">
        <v>2020</v>
      </c>
    </row>
    <row r="3" spans="2:28" ht="21" customHeight="1" x14ac:dyDescent="0.3">
      <c r="B3" s="5" t="s">
        <v>0</v>
      </c>
      <c r="C3" s="6" t="s">
        <v>13</v>
      </c>
      <c r="D3" s="6" t="s">
        <v>14</v>
      </c>
      <c r="E3" s="6" t="s">
        <v>15</v>
      </c>
      <c r="F3" s="6" t="s">
        <v>16</v>
      </c>
      <c r="G3" s="7" t="s">
        <v>1</v>
      </c>
      <c r="H3" s="6" t="s">
        <v>17</v>
      </c>
      <c r="I3" s="6" t="s">
        <v>18</v>
      </c>
      <c r="J3" s="6" t="s">
        <v>19</v>
      </c>
      <c r="K3" s="6" t="s">
        <v>20</v>
      </c>
      <c r="L3" s="7" t="s">
        <v>2</v>
      </c>
      <c r="M3" s="6" t="s">
        <v>21</v>
      </c>
      <c r="N3" s="6" t="s">
        <v>22</v>
      </c>
      <c r="O3" s="6" t="s">
        <v>23</v>
      </c>
      <c r="P3" s="6" t="s">
        <v>24</v>
      </c>
      <c r="Q3" s="7" t="s">
        <v>3</v>
      </c>
      <c r="R3" s="6" t="s">
        <v>25</v>
      </c>
      <c r="S3" s="6" t="s">
        <v>26</v>
      </c>
      <c r="T3" s="6" t="s">
        <v>27</v>
      </c>
      <c r="U3" s="6" t="s">
        <v>28</v>
      </c>
      <c r="V3" s="7" t="s">
        <v>4</v>
      </c>
      <c r="W3" s="6" t="s">
        <v>29</v>
      </c>
      <c r="X3" s="6" t="s">
        <v>30</v>
      </c>
      <c r="Y3" s="6" t="s">
        <v>31</v>
      </c>
      <c r="Z3" s="6" t="s">
        <v>32</v>
      </c>
      <c r="AA3" s="7" t="s">
        <v>5</v>
      </c>
      <c r="AB3" s="130" t="s">
        <v>215</v>
      </c>
    </row>
    <row r="4" spans="2:28" ht="2.4" customHeight="1" x14ac:dyDescent="0.3"/>
    <row r="5" spans="2:28" ht="21.75" customHeight="1" x14ac:dyDescent="0.3">
      <c r="B5" s="292" t="s">
        <v>33</v>
      </c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</row>
    <row r="6" spans="2:28" ht="18" customHeight="1" x14ac:dyDescent="0.3">
      <c r="B6" s="1" t="s">
        <v>34</v>
      </c>
      <c r="C6" s="4">
        <v>600500902</v>
      </c>
      <c r="D6" s="4">
        <v>636001960</v>
      </c>
      <c r="E6" s="4">
        <v>679605545</v>
      </c>
      <c r="F6" s="4">
        <v>726101330</v>
      </c>
      <c r="G6" s="8">
        <f>SUM(C$6:F$6)</f>
        <v>2642209737</v>
      </c>
      <c r="H6" s="4">
        <v>745522807</v>
      </c>
      <c r="I6" s="4">
        <v>723286955</v>
      </c>
      <c r="J6" s="4">
        <v>854605427</v>
      </c>
      <c r="K6" s="4">
        <v>950369717</v>
      </c>
      <c r="L6" s="8">
        <f>SUM(H$6:K$6)</f>
        <v>3273784906</v>
      </c>
      <c r="M6" s="4">
        <v>1216745149</v>
      </c>
      <c r="N6" s="4">
        <v>1184485193</v>
      </c>
      <c r="O6" s="4">
        <v>1218694160</v>
      </c>
      <c r="P6" s="4">
        <v>1223006708</v>
      </c>
      <c r="Q6" s="8">
        <v>4842931210</v>
      </c>
      <c r="R6" s="4">
        <v>1388837366</v>
      </c>
      <c r="S6" s="4">
        <v>1545783474</v>
      </c>
      <c r="T6" s="4">
        <v>1925485479</v>
      </c>
      <c r="U6" s="4">
        <v>1784581295</v>
      </c>
      <c r="V6" s="8">
        <v>6644687614</v>
      </c>
      <c r="W6" s="4">
        <v>1690562996</v>
      </c>
      <c r="X6" s="4">
        <v>1877545324</v>
      </c>
      <c r="Y6" s="4">
        <v>2174448885</v>
      </c>
      <c r="Z6" s="4">
        <v>2061116223</v>
      </c>
      <c r="AA6" s="8">
        <v>7803673428</v>
      </c>
      <c r="AB6" s="131">
        <v>2055185983</v>
      </c>
    </row>
    <row r="7" spans="2:28" ht="18" customHeight="1" x14ac:dyDescent="0.3">
      <c r="B7" s="9" t="s">
        <v>35</v>
      </c>
      <c r="C7" s="10">
        <v>-500710130</v>
      </c>
      <c r="D7" s="10">
        <v>-523836117</v>
      </c>
      <c r="E7" s="10">
        <v>-555095897</v>
      </c>
      <c r="F7" s="10">
        <v>-579284761</v>
      </c>
      <c r="G7" s="11">
        <f>SUM(C7:F7)</f>
        <v>-2158926905</v>
      </c>
      <c r="H7" s="10">
        <v>-593196583</v>
      </c>
      <c r="I7" s="10">
        <v>-587544683</v>
      </c>
      <c r="J7" s="10">
        <v>-741296683</v>
      </c>
      <c r="K7" s="10">
        <v>-753181274</v>
      </c>
      <c r="L7" s="11">
        <f>SUM(H$7:K$7)</f>
        <v>-2675219223</v>
      </c>
      <c r="M7" s="10">
        <v>-716268069</v>
      </c>
      <c r="N7" s="10">
        <v>-744880803</v>
      </c>
      <c r="O7" s="10">
        <v>-859533984</v>
      </c>
      <c r="P7" s="10">
        <v>-888120919</v>
      </c>
      <c r="Q7" s="11">
        <v>-3208803775</v>
      </c>
      <c r="R7" s="10">
        <v>-953074137</v>
      </c>
      <c r="S7" s="10">
        <v>-1088987615</v>
      </c>
      <c r="T7" s="10">
        <v>-1383964259</v>
      </c>
      <c r="U7" s="10">
        <v>-1343426640</v>
      </c>
      <c r="V7" s="11">
        <v>-4769452651</v>
      </c>
      <c r="W7" s="10">
        <v>-1250122719</v>
      </c>
      <c r="X7" s="10">
        <v>-1428548400</v>
      </c>
      <c r="Y7" s="10">
        <v>-1658952908</v>
      </c>
      <c r="Z7" s="10">
        <v>-1681155536</v>
      </c>
      <c r="AA7" s="11">
        <v>-6018779563</v>
      </c>
      <c r="AB7" s="132">
        <v>-1826019026</v>
      </c>
    </row>
    <row r="8" spans="2:28" ht="18" customHeight="1" x14ac:dyDescent="0.3">
      <c r="B8" s="12" t="s">
        <v>36</v>
      </c>
      <c r="C8" s="13">
        <f>SUM(C$6:C$7)</f>
        <v>99790772</v>
      </c>
      <c r="D8" s="13">
        <f t="shared" ref="D8:F8" si="0">SUM(D$6:D$7)</f>
        <v>112165843</v>
      </c>
      <c r="E8" s="13">
        <f t="shared" si="0"/>
        <v>124509648</v>
      </c>
      <c r="F8" s="13">
        <f t="shared" si="0"/>
        <v>146816569</v>
      </c>
      <c r="G8" s="8">
        <f>SUM(C8:F8)</f>
        <v>483282832</v>
      </c>
      <c r="H8" s="13">
        <f>SUM(H$6:H$7)</f>
        <v>152326224</v>
      </c>
      <c r="I8" s="13">
        <f t="shared" ref="I8:K8" si="1">SUM(I$6:I$7)</f>
        <v>135742272</v>
      </c>
      <c r="J8" s="13">
        <f t="shared" si="1"/>
        <v>113308744</v>
      </c>
      <c r="K8" s="13">
        <f t="shared" si="1"/>
        <v>197188443</v>
      </c>
      <c r="L8" s="8">
        <f>SUM(H$8:K$8)</f>
        <v>598565683</v>
      </c>
      <c r="M8" s="13">
        <v>500477080</v>
      </c>
      <c r="N8" s="13">
        <v>439604390</v>
      </c>
      <c r="O8" s="13">
        <v>359160176</v>
      </c>
      <c r="P8" s="13">
        <v>334885789</v>
      </c>
      <c r="Q8" s="8">
        <v>1634127435</v>
      </c>
      <c r="R8" s="13">
        <v>435763229</v>
      </c>
      <c r="S8" s="13">
        <v>456795859</v>
      </c>
      <c r="T8" s="13">
        <v>541521220</v>
      </c>
      <c r="U8" s="13">
        <v>441154655</v>
      </c>
      <c r="V8" s="8">
        <v>1875234963</v>
      </c>
      <c r="W8" s="13">
        <v>440440277</v>
      </c>
      <c r="X8" s="13">
        <v>448996924</v>
      </c>
      <c r="Y8" s="13">
        <v>515495977</v>
      </c>
      <c r="Z8" s="13">
        <v>379960687</v>
      </c>
      <c r="AA8" s="8">
        <v>1784893865</v>
      </c>
      <c r="AB8">
        <f>SUM(AB$6:AB$7)</f>
        <v>229166957</v>
      </c>
    </row>
    <row r="9" spans="2:28" ht="18" customHeight="1" x14ac:dyDescent="0.3">
      <c r="B9" s="14" t="s">
        <v>37</v>
      </c>
      <c r="C9" s="15">
        <f>C$8/C$6</f>
        <v>0.16617922082654923</v>
      </c>
      <c r="D9" s="15">
        <f t="shared" ref="D9:AA9" si="2">D$8/D$6</f>
        <v>0.17636084486280515</v>
      </c>
      <c r="E9" s="15">
        <f t="shared" si="2"/>
        <v>0.18320869939341064</v>
      </c>
      <c r="F9" s="15">
        <f t="shared" si="2"/>
        <v>0.20219845761747882</v>
      </c>
      <c r="G9" s="110">
        <f t="shared" si="2"/>
        <v>0.18290858035695748</v>
      </c>
      <c r="H9" s="15">
        <f t="shared" si="2"/>
        <v>0.20432134680488723</v>
      </c>
      <c r="I9" s="15">
        <f t="shared" si="2"/>
        <v>0.187674160389081</v>
      </c>
      <c r="J9" s="15">
        <f t="shared" si="2"/>
        <v>0.13258603376503014</v>
      </c>
      <c r="K9" s="15">
        <f t="shared" si="2"/>
        <v>0.207486033564346</v>
      </c>
      <c r="L9" s="110">
        <f>L$8/L$6</f>
        <v>0.18283598348290508</v>
      </c>
      <c r="M9" s="15">
        <f t="shared" si="2"/>
        <v>0.41132449174860036</v>
      </c>
      <c r="N9" s="15">
        <f t="shared" si="2"/>
        <v>0.37113540346299628</v>
      </c>
      <c r="O9" s="15">
        <f t="shared" si="2"/>
        <v>0.29470903183781566</v>
      </c>
      <c r="P9" s="15">
        <f t="shared" si="2"/>
        <v>0.27382171071460715</v>
      </c>
      <c r="Q9" s="114">
        <f t="shared" si="2"/>
        <v>0.33742528318918658</v>
      </c>
      <c r="R9" s="15">
        <f t="shared" si="2"/>
        <v>0.31376116431475676</v>
      </c>
      <c r="S9" s="15">
        <f t="shared" si="2"/>
        <v>0.29551089572587835</v>
      </c>
      <c r="T9" s="15">
        <f t="shared" si="2"/>
        <v>0.28123879712727762</v>
      </c>
      <c r="U9" s="15">
        <f t="shared" si="2"/>
        <v>0.24720345116023421</v>
      </c>
      <c r="V9" s="110">
        <f t="shared" si="2"/>
        <v>0.28221566940919551</v>
      </c>
      <c r="W9" s="15">
        <f t="shared" si="2"/>
        <v>0.2605287576044874</v>
      </c>
      <c r="X9" s="15">
        <f t="shared" si="2"/>
        <v>0.23914039158502892</v>
      </c>
      <c r="Y9" s="15">
        <f t="shared" si="2"/>
        <v>0.23706971479350272</v>
      </c>
      <c r="Z9" s="15">
        <f t="shared" si="2"/>
        <v>0.18434704591619722</v>
      </c>
      <c r="AA9" s="110">
        <f t="shared" si="2"/>
        <v>0.22872482830915308</v>
      </c>
      <c r="AB9" s="133">
        <f>AB$8/AB$6</f>
        <v>0.11150667574400248</v>
      </c>
    </row>
    <row r="10" spans="2:28" ht="21.75" customHeight="1" x14ac:dyDescent="0.3">
      <c r="B10" s="292" t="s">
        <v>38</v>
      </c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</row>
    <row r="11" spans="2:28" ht="18" customHeight="1" x14ac:dyDescent="0.3">
      <c r="B11" s="9" t="s">
        <v>39</v>
      </c>
      <c r="C11" s="17">
        <v>19541862</v>
      </c>
      <c r="D11" s="17">
        <v>12278736</v>
      </c>
      <c r="E11" s="17">
        <v>9700369</v>
      </c>
      <c r="F11" s="17">
        <v>11821734</v>
      </c>
      <c r="G11" s="13">
        <v>57842701</v>
      </c>
      <c r="H11" s="17">
        <v>19859214</v>
      </c>
      <c r="I11" s="17">
        <v>11173484</v>
      </c>
      <c r="J11" s="17">
        <v>18075825</v>
      </c>
      <c r="K11" s="17">
        <v>43175327</v>
      </c>
      <c r="L11" s="13">
        <v>92283850</v>
      </c>
      <c r="M11" s="17">
        <v>30015458</v>
      </c>
      <c r="N11" s="17">
        <v>28532528</v>
      </c>
      <c r="O11" s="17">
        <v>38886281</v>
      </c>
      <c r="P11" s="17">
        <v>28336022</v>
      </c>
      <c r="Q11" s="13">
        <v>125725491</v>
      </c>
      <c r="R11" s="17">
        <v>52411640</v>
      </c>
      <c r="S11" s="17">
        <v>33375495</v>
      </c>
      <c r="T11" s="17">
        <v>3231666</v>
      </c>
      <c r="U11" s="10">
        <v>-14016247</v>
      </c>
      <c r="V11" s="13">
        <v>75002554</v>
      </c>
      <c r="W11" s="17">
        <v>8950608</v>
      </c>
      <c r="X11" s="17">
        <v>8473192</v>
      </c>
      <c r="Y11" s="17">
        <v>13160319</v>
      </c>
      <c r="Z11" s="17">
        <v>28028124</v>
      </c>
      <c r="AA11" s="13">
        <v>58612243</v>
      </c>
      <c r="AB11" s="134">
        <v>11512021</v>
      </c>
    </row>
    <row r="12" spans="2:28" ht="18" customHeight="1" x14ac:dyDescent="0.3">
      <c r="B12" s="9" t="s">
        <v>40</v>
      </c>
      <c r="C12" s="10">
        <v>-46155681</v>
      </c>
      <c r="D12" s="10">
        <v>-47060286</v>
      </c>
      <c r="E12" s="10">
        <v>-44121438</v>
      </c>
      <c r="F12" s="10">
        <v>-48734684</v>
      </c>
      <c r="G12" s="11">
        <v>-186072089</v>
      </c>
      <c r="H12" s="10">
        <v>-49177557</v>
      </c>
      <c r="I12" s="10">
        <v>-55650661</v>
      </c>
      <c r="J12" s="10">
        <v>-61413009</v>
      </c>
      <c r="K12" s="10">
        <v>-54980619</v>
      </c>
      <c r="L12" s="11">
        <v>-221221846</v>
      </c>
      <c r="M12" s="10">
        <v>-78056800</v>
      </c>
      <c r="N12" s="10">
        <v>-72930711</v>
      </c>
      <c r="O12" s="10">
        <v>-77251047</v>
      </c>
      <c r="P12" s="10">
        <v>-96093146</v>
      </c>
      <c r="Q12" s="11">
        <v>-324331704</v>
      </c>
      <c r="R12" s="10">
        <v>-31265855</v>
      </c>
      <c r="S12" s="10">
        <v>-43780142</v>
      </c>
      <c r="T12" s="10">
        <v>-50870153</v>
      </c>
      <c r="U12" s="10">
        <v>-66085460</v>
      </c>
      <c r="V12" s="11">
        <v>-192001610</v>
      </c>
      <c r="W12" s="10">
        <v>-60700619</v>
      </c>
      <c r="X12" s="10">
        <v>-69363534</v>
      </c>
      <c r="Y12" s="10">
        <v>-73174249</v>
      </c>
      <c r="Z12" s="10">
        <v>-70669690</v>
      </c>
      <c r="AA12" s="11">
        <v>-273908092</v>
      </c>
      <c r="AB12" s="132">
        <v>-126399082</v>
      </c>
    </row>
    <row r="13" spans="2:28" ht="18" customHeight="1" x14ac:dyDescent="0.3">
      <c r="B13" s="9" t="s">
        <v>41</v>
      </c>
      <c r="C13" s="10">
        <v>-40967517</v>
      </c>
      <c r="D13" s="10">
        <v>-46926201</v>
      </c>
      <c r="E13" s="10">
        <v>-48878654</v>
      </c>
      <c r="F13" s="10">
        <v>-54248019</v>
      </c>
      <c r="G13" s="11">
        <v>-191020391</v>
      </c>
      <c r="H13" s="10">
        <v>-48065894</v>
      </c>
      <c r="I13" s="10">
        <v>-60888236</v>
      </c>
      <c r="J13" s="10">
        <v>-60312234</v>
      </c>
      <c r="K13" s="10">
        <v>-74773257</v>
      </c>
      <c r="L13" s="11">
        <v>-244039621</v>
      </c>
      <c r="M13" s="10">
        <v>-71700181</v>
      </c>
      <c r="N13" s="10">
        <v>-77979092</v>
      </c>
      <c r="O13" s="10">
        <v>-88470972</v>
      </c>
      <c r="P13" s="10">
        <v>-85745391</v>
      </c>
      <c r="Q13" s="11">
        <v>-323895636</v>
      </c>
      <c r="R13" s="10">
        <v>-96173498</v>
      </c>
      <c r="S13" s="10">
        <v>-109053594</v>
      </c>
      <c r="T13" s="10">
        <v>-136380262</v>
      </c>
      <c r="U13" s="10">
        <v>-126564720</v>
      </c>
      <c r="V13" s="11">
        <v>-468172074</v>
      </c>
      <c r="W13" s="10">
        <v>-132813605</v>
      </c>
      <c r="X13" s="10">
        <v>-142823345</v>
      </c>
      <c r="Y13" s="10">
        <v>-146749480</v>
      </c>
      <c r="Z13" s="10">
        <v>-133693112</v>
      </c>
      <c r="AA13" s="11">
        <v>-556079542</v>
      </c>
      <c r="AB13" s="132">
        <v>-150238711</v>
      </c>
    </row>
    <row r="14" spans="2:28" ht="18" customHeight="1" x14ac:dyDescent="0.3">
      <c r="B14" s="9" t="s">
        <v>42</v>
      </c>
      <c r="C14" s="17">
        <v>0</v>
      </c>
      <c r="D14" s="17">
        <v>0</v>
      </c>
      <c r="E14" s="17">
        <v>0</v>
      </c>
      <c r="F14" s="10">
        <v>-24945000</v>
      </c>
      <c r="G14" s="11">
        <v>-24945000</v>
      </c>
      <c r="H14" s="17">
        <v>0</v>
      </c>
      <c r="I14" s="10">
        <v>-7536257</v>
      </c>
      <c r="J14" s="10">
        <v>-4481636</v>
      </c>
      <c r="K14" s="10">
        <v>-8679630</v>
      </c>
      <c r="L14" s="11">
        <v>-42416673</v>
      </c>
      <c r="M14" s="10">
        <v>-2820165</v>
      </c>
      <c r="N14" s="10">
        <v>-8741334</v>
      </c>
      <c r="O14" s="10">
        <v>-9443658</v>
      </c>
      <c r="P14" s="17">
        <v>3979897</v>
      </c>
      <c r="Q14" s="11">
        <v>-17025260</v>
      </c>
      <c r="R14" s="10">
        <v>-3329490</v>
      </c>
      <c r="S14" s="10">
        <v>-4697879</v>
      </c>
      <c r="T14" s="17">
        <v>19099072</v>
      </c>
      <c r="U14" s="10">
        <v>-18881811</v>
      </c>
      <c r="V14" s="11">
        <v>-7810108</v>
      </c>
      <c r="W14" s="10">
        <v>-8670192</v>
      </c>
      <c r="X14" s="10">
        <v>-7628108</v>
      </c>
      <c r="Y14" s="17">
        <v>2803491</v>
      </c>
      <c r="Z14" s="17">
        <v>10950832</v>
      </c>
      <c r="AA14" s="11">
        <v>-2543977</v>
      </c>
      <c r="AB14">
        <v>0</v>
      </c>
    </row>
    <row r="15" spans="2:28" ht="18" customHeight="1" x14ac:dyDescent="0.3">
      <c r="B15" s="9" t="s">
        <v>43</v>
      </c>
      <c r="C15" s="10">
        <v>-21839738</v>
      </c>
      <c r="D15" s="10">
        <v>-27405561</v>
      </c>
      <c r="E15" s="10">
        <v>-31932554</v>
      </c>
      <c r="F15" s="10">
        <v>-3473433</v>
      </c>
      <c r="G15" s="11">
        <v>-89151286</v>
      </c>
      <c r="H15" s="10">
        <v>-44357633</v>
      </c>
      <c r="I15" s="10">
        <v>-59958515</v>
      </c>
      <c r="J15" s="10">
        <v>-99566231</v>
      </c>
      <c r="K15" s="10">
        <v>-32316948</v>
      </c>
      <c r="L15" s="11">
        <v>-214480177</v>
      </c>
      <c r="M15" s="10">
        <v>-71542308</v>
      </c>
      <c r="N15" s="10">
        <v>-33928779</v>
      </c>
      <c r="O15" s="10">
        <v>-23624719</v>
      </c>
      <c r="P15" s="10">
        <v>-24484295</v>
      </c>
      <c r="Q15" s="11">
        <v>-153535304</v>
      </c>
      <c r="R15" s="10">
        <v>-35723940</v>
      </c>
      <c r="S15" s="10">
        <v>-31248978</v>
      </c>
      <c r="T15" s="10">
        <v>-26117203</v>
      </c>
      <c r="U15" s="10">
        <v>-38212288</v>
      </c>
      <c r="V15" s="11">
        <v>-131302409</v>
      </c>
      <c r="W15" s="10">
        <v>-49738946</v>
      </c>
      <c r="X15" s="10">
        <v>-64620676</v>
      </c>
      <c r="Y15" s="10">
        <v>-57374253</v>
      </c>
      <c r="Z15" s="10">
        <v>-96672256</v>
      </c>
      <c r="AA15" s="11">
        <v>-268406131</v>
      </c>
      <c r="AB15" s="132">
        <v>-96492682</v>
      </c>
    </row>
    <row r="16" spans="2:28" ht="18" customHeight="1" x14ac:dyDescent="0.3">
      <c r="B16" s="12" t="s">
        <v>44</v>
      </c>
      <c r="C16" s="13">
        <f>SUM(C8,C11:C15)</f>
        <v>10369698</v>
      </c>
      <c r="D16" s="13">
        <f t="shared" ref="D16:AA16" si="3">SUM(D8,D11:D15)</f>
        <v>3052531</v>
      </c>
      <c r="E16" s="13">
        <f t="shared" si="3"/>
        <v>9277371</v>
      </c>
      <c r="F16" s="13">
        <f t="shared" si="3"/>
        <v>27237167</v>
      </c>
      <c r="G16" s="8">
        <f t="shared" si="3"/>
        <v>49936767</v>
      </c>
      <c r="H16" s="13">
        <f t="shared" si="3"/>
        <v>30584354</v>
      </c>
      <c r="I16" s="11">
        <f t="shared" si="3"/>
        <v>-37117913</v>
      </c>
      <c r="J16" s="11">
        <f t="shared" si="3"/>
        <v>-94388541</v>
      </c>
      <c r="K16" s="13">
        <f t="shared" si="3"/>
        <v>69613316</v>
      </c>
      <c r="L16" s="18">
        <f t="shared" si="3"/>
        <v>-31308784</v>
      </c>
      <c r="M16" s="13">
        <f t="shared" si="3"/>
        <v>306373084</v>
      </c>
      <c r="N16" s="13">
        <f t="shared" si="3"/>
        <v>274557002</v>
      </c>
      <c r="O16" s="13">
        <f t="shared" si="3"/>
        <v>199256061</v>
      </c>
      <c r="P16" s="13">
        <f t="shared" si="3"/>
        <v>160878876</v>
      </c>
      <c r="Q16" s="8">
        <f t="shared" si="3"/>
        <v>941065022</v>
      </c>
      <c r="R16" s="13">
        <f t="shared" si="3"/>
        <v>321682086</v>
      </c>
      <c r="S16" s="13">
        <f t="shared" si="3"/>
        <v>301390761</v>
      </c>
      <c r="T16" s="13">
        <f t="shared" si="3"/>
        <v>350484340</v>
      </c>
      <c r="U16" s="13">
        <f t="shared" si="3"/>
        <v>177394129</v>
      </c>
      <c r="V16" s="8">
        <f t="shared" si="3"/>
        <v>1150951316</v>
      </c>
      <c r="W16" s="13">
        <f t="shared" si="3"/>
        <v>197467523</v>
      </c>
      <c r="X16" s="13">
        <f t="shared" si="3"/>
        <v>173034453</v>
      </c>
      <c r="Y16" s="13">
        <f t="shared" si="3"/>
        <v>254161805</v>
      </c>
      <c r="Z16" s="13">
        <f t="shared" si="3"/>
        <v>117904585</v>
      </c>
      <c r="AA16" s="8">
        <f t="shared" si="3"/>
        <v>742568366</v>
      </c>
      <c r="AB16" s="135">
        <f>SUM(AB8,AB11:AB15)</f>
        <v>-132451497</v>
      </c>
    </row>
    <row r="17" spans="2:28" ht="18" customHeight="1" x14ac:dyDescent="0.3">
      <c r="B17" s="14" t="s">
        <v>45</v>
      </c>
      <c r="C17" s="15">
        <f t="shared" ref="C17:F17" si="4">C$16/C$6</f>
        <v>1.7268413695072184E-2</v>
      </c>
      <c r="D17" s="15">
        <f t="shared" si="4"/>
        <v>4.7995622529213586E-3</v>
      </c>
      <c r="E17" s="15">
        <f t="shared" si="4"/>
        <v>1.3651111395802398E-2</v>
      </c>
      <c r="F17" s="15">
        <f t="shared" si="4"/>
        <v>3.7511523357215172E-2</v>
      </c>
      <c r="G17" s="110">
        <f t="shared" ref="G17:K17" si="5">G$16/G$6</f>
        <v>1.8899622653233753E-2</v>
      </c>
      <c r="H17" s="15">
        <f t="shared" si="5"/>
        <v>4.1024035365292318E-2</v>
      </c>
      <c r="I17" s="19">
        <f t="shared" si="5"/>
        <v>-5.1318377503434993E-2</v>
      </c>
      <c r="J17" s="19">
        <f t="shared" si="5"/>
        <v>-0.1104469244143941</v>
      </c>
      <c r="K17" s="15">
        <f t="shared" si="5"/>
        <v>7.3248668128595262E-2</v>
      </c>
      <c r="L17" s="111">
        <f>L$16/L$6</f>
        <v>-9.5634822992247005E-3</v>
      </c>
      <c r="M17" s="15">
        <f t="shared" ref="M17:AA17" si="6">M$16/M$6</f>
        <v>0.25179725125824193</v>
      </c>
      <c r="N17" s="15">
        <f t="shared" si="6"/>
        <v>0.23179437246034024</v>
      </c>
      <c r="O17" s="15">
        <f t="shared" si="6"/>
        <v>0.16349964374983136</v>
      </c>
      <c r="P17" s="15">
        <f t="shared" si="6"/>
        <v>0.1315437396603388</v>
      </c>
      <c r="Q17" s="114">
        <f t="shared" si="6"/>
        <v>0.19431723912510415</v>
      </c>
      <c r="R17" s="15">
        <f t="shared" si="6"/>
        <v>0.23161969419535333</v>
      </c>
      <c r="S17" s="15">
        <f t="shared" si="6"/>
        <v>0.19497605328907791</v>
      </c>
      <c r="T17" s="15">
        <f t="shared" si="6"/>
        <v>0.18202388115750626</v>
      </c>
      <c r="U17" s="15">
        <f t="shared" si="6"/>
        <v>9.9403781434344793E-2</v>
      </c>
      <c r="V17" s="110">
        <f t="shared" si="6"/>
        <v>0.17321375854825852</v>
      </c>
      <c r="W17" s="15">
        <f t="shared" si="6"/>
        <v>0.11680577622201782</v>
      </c>
      <c r="X17" s="15">
        <f t="shared" si="6"/>
        <v>9.215993392444996E-2</v>
      </c>
      <c r="Y17" s="15">
        <f t="shared" si="6"/>
        <v>0.1168856195026171</v>
      </c>
      <c r="Z17" s="15">
        <f t="shared" si="6"/>
        <v>5.7204238986769643E-2</v>
      </c>
      <c r="AA17" s="110">
        <f t="shared" si="6"/>
        <v>9.5156258504568478E-2</v>
      </c>
      <c r="AB17" s="133">
        <f>AB$16/AB$6</f>
        <v>-6.444745054491742E-2</v>
      </c>
    </row>
    <row r="18" spans="2:28" ht="21.75" customHeight="1" x14ac:dyDescent="0.3">
      <c r="B18" s="292" t="s">
        <v>46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</row>
    <row r="19" spans="2:28" ht="18" customHeight="1" x14ac:dyDescent="0.3">
      <c r="B19" s="9" t="s">
        <v>47</v>
      </c>
      <c r="C19" s="17">
        <v>1126447</v>
      </c>
      <c r="D19" s="10">
        <v>-1195</v>
      </c>
      <c r="E19" s="10">
        <v>-318</v>
      </c>
      <c r="F19" s="17">
        <v>750188</v>
      </c>
      <c r="G19" s="13">
        <v>1875122</v>
      </c>
      <c r="H19" s="17">
        <v>0</v>
      </c>
      <c r="I19" s="17">
        <v>0</v>
      </c>
      <c r="J19" s="17">
        <v>0</v>
      </c>
      <c r="K19" s="17">
        <v>0</v>
      </c>
      <c r="L19" s="13">
        <v>0</v>
      </c>
      <c r="M19" s="17">
        <v>0</v>
      </c>
      <c r="N19" s="17">
        <v>0</v>
      </c>
      <c r="O19" s="17">
        <v>0</v>
      </c>
      <c r="P19" s="17">
        <v>0</v>
      </c>
      <c r="Q19" s="13">
        <v>0</v>
      </c>
      <c r="R19" s="17">
        <v>0</v>
      </c>
      <c r="S19" s="17">
        <v>0</v>
      </c>
      <c r="T19" s="17">
        <v>0</v>
      </c>
      <c r="U19" s="17">
        <v>995630</v>
      </c>
      <c r="V19" s="13">
        <v>995630</v>
      </c>
      <c r="W19" s="17">
        <v>48719</v>
      </c>
      <c r="X19" s="17">
        <v>8282</v>
      </c>
      <c r="Y19" s="17">
        <v>7092</v>
      </c>
      <c r="Z19" s="10">
        <v>-2908</v>
      </c>
      <c r="AA19" s="13">
        <v>61185</v>
      </c>
      <c r="AB19" s="134">
        <v>0</v>
      </c>
    </row>
    <row r="20" spans="2:28" ht="18" customHeight="1" x14ac:dyDescent="0.3">
      <c r="B20" s="9" t="s">
        <v>48</v>
      </c>
      <c r="C20" s="10">
        <v>-13151437</v>
      </c>
      <c r="D20" s="17">
        <v>1936985</v>
      </c>
      <c r="E20" s="10">
        <v>-3866226</v>
      </c>
      <c r="F20" s="10">
        <v>-3824161</v>
      </c>
      <c r="G20" s="11">
        <v>-18904839</v>
      </c>
      <c r="H20" s="17">
        <v>21957961</v>
      </c>
      <c r="I20" s="10">
        <v>-2627612</v>
      </c>
      <c r="J20" s="17">
        <v>102528827</v>
      </c>
      <c r="K20" s="10">
        <v>-14138905</v>
      </c>
      <c r="L20" s="115">
        <v>107720271</v>
      </c>
      <c r="M20" s="10">
        <v>-129279398</v>
      </c>
      <c r="N20" s="10">
        <v>-39861027</v>
      </c>
      <c r="O20" s="10">
        <v>-78595627</v>
      </c>
      <c r="P20" s="10">
        <v>-6367899</v>
      </c>
      <c r="Q20" s="11">
        <v>-254103950</v>
      </c>
      <c r="R20" s="17">
        <v>285393803</v>
      </c>
      <c r="S20" s="10">
        <v>-78628736</v>
      </c>
      <c r="T20" s="10">
        <v>-45567076</v>
      </c>
      <c r="U20" s="10">
        <v>-81258767</v>
      </c>
      <c r="V20" s="13">
        <v>79939224</v>
      </c>
      <c r="W20" s="10">
        <v>-49818485</v>
      </c>
      <c r="X20" s="10">
        <v>-65132430</v>
      </c>
      <c r="Y20" s="10">
        <v>-96883902</v>
      </c>
      <c r="Z20" s="10">
        <v>-69125267</v>
      </c>
      <c r="AA20" s="11">
        <v>-280960084</v>
      </c>
      <c r="AB20">
        <f>29894001+(-95394880)</f>
        <v>-65500879</v>
      </c>
    </row>
    <row r="21" spans="2:28" ht="18" customHeight="1" x14ac:dyDescent="0.3">
      <c r="B21" s="12" t="s">
        <v>49</v>
      </c>
      <c r="C21" s="11">
        <f>SUM(C$16,C$19:C$20)</f>
        <v>-1655292</v>
      </c>
      <c r="D21" s="13">
        <f t="shared" ref="D21:AA21" si="7">SUM(D$16,D$19:D$20)</f>
        <v>4988321</v>
      </c>
      <c r="E21" s="13">
        <f t="shared" si="7"/>
        <v>5410827</v>
      </c>
      <c r="F21" s="13">
        <f t="shared" si="7"/>
        <v>24163194</v>
      </c>
      <c r="G21" s="8">
        <f t="shared" si="7"/>
        <v>32907050</v>
      </c>
      <c r="H21" s="13">
        <f t="shared" si="7"/>
        <v>52542315</v>
      </c>
      <c r="I21" s="11">
        <f t="shared" si="7"/>
        <v>-39745525</v>
      </c>
      <c r="J21" s="13">
        <f t="shared" si="7"/>
        <v>8140286</v>
      </c>
      <c r="K21" s="13">
        <f t="shared" si="7"/>
        <v>55474411</v>
      </c>
      <c r="L21" s="8">
        <f t="shared" si="7"/>
        <v>76411487</v>
      </c>
      <c r="M21" s="13">
        <f t="shared" si="7"/>
        <v>177093686</v>
      </c>
      <c r="N21" s="13">
        <f t="shared" si="7"/>
        <v>234695975</v>
      </c>
      <c r="O21" s="13">
        <f t="shared" si="7"/>
        <v>120660434</v>
      </c>
      <c r="P21" s="13">
        <f t="shared" si="7"/>
        <v>154510977</v>
      </c>
      <c r="Q21" s="8">
        <f t="shared" si="7"/>
        <v>686961072</v>
      </c>
      <c r="R21" s="13">
        <f t="shared" si="7"/>
        <v>607075889</v>
      </c>
      <c r="S21" s="13">
        <f t="shared" si="7"/>
        <v>222762025</v>
      </c>
      <c r="T21" s="13">
        <f t="shared" si="7"/>
        <v>304917264</v>
      </c>
      <c r="U21" s="13">
        <f t="shared" si="7"/>
        <v>97130992</v>
      </c>
      <c r="V21" s="8">
        <f t="shared" si="7"/>
        <v>1231886170</v>
      </c>
      <c r="W21" s="13">
        <f t="shared" si="7"/>
        <v>147697757</v>
      </c>
      <c r="X21" s="13">
        <f t="shared" si="7"/>
        <v>107910305</v>
      </c>
      <c r="Y21" s="13">
        <f t="shared" si="7"/>
        <v>157284995</v>
      </c>
      <c r="Z21" s="13">
        <f t="shared" si="7"/>
        <v>48776410</v>
      </c>
      <c r="AA21" s="8">
        <f t="shared" si="7"/>
        <v>461669467</v>
      </c>
      <c r="AB21" s="135">
        <f>SUM(AB$16,AB$19:AB$20)</f>
        <v>-197952376</v>
      </c>
    </row>
    <row r="22" spans="2:28" ht="18" customHeight="1" x14ac:dyDescent="0.3">
      <c r="B22" s="9" t="s">
        <v>50</v>
      </c>
      <c r="C22" s="10">
        <v>-12501303</v>
      </c>
      <c r="D22" s="10">
        <v>-9214188</v>
      </c>
      <c r="E22" s="10">
        <v>-10281175</v>
      </c>
      <c r="F22" s="10">
        <v>-24246921</v>
      </c>
      <c r="G22" s="11">
        <v>-56243587</v>
      </c>
      <c r="H22" s="10">
        <v>-19210071</v>
      </c>
      <c r="I22" s="10">
        <v>-18056660</v>
      </c>
      <c r="J22" s="10">
        <v>-13423759</v>
      </c>
      <c r="K22" s="10">
        <v>-12991864</v>
      </c>
      <c r="L22" s="11">
        <v>-63682355</v>
      </c>
      <c r="M22" s="10">
        <v>-86536200</v>
      </c>
      <c r="N22" s="10">
        <v>-60085929</v>
      </c>
      <c r="O22" s="10">
        <v>-33060502</v>
      </c>
      <c r="P22" s="10">
        <v>-34358866</v>
      </c>
      <c r="Q22" s="11">
        <v>-214041497</v>
      </c>
      <c r="R22" s="10">
        <v>-120683511</v>
      </c>
      <c r="S22" s="10">
        <v>-61742562</v>
      </c>
      <c r="T22" s="10">
        <v>-71421307</v>
      </c>
      <c r="U22" s="10">
        <v>-58648735</v>
      </c>
      <c r="V22" s="11">
        <v>-312496115</v>
      </c>
      <c r="W22" s="10">
        <v>-54842255</v>
      </c>
      <c r="X22" s="10">
        <v>-52757074</v>
      </c>
      <c r="Y22" s="10">
        <v>-53929398</v>
      </c>
      <c r="Z22" s="10">
        <v>-40843596</v>
      </c>
      <c r="AA22" s="11">
        <v>-202372323</v>
      </c>
      <c r="AB22">
        <f>-32344693+7895167</f>
        <v>-24449526</v>
      </c>
    </row>
    <row r="23" spans="2:28" ht="18" customHeight="1" x14ac:dyDescent="0.3">
      <c r="B23" s="14" t="s">
        <v>51</v>
      </c>
      <c r="C23" s="19">
        <v>-7.5523249070254703</v>
      </c>
      <c r="D23" s="15">
        <v>1.84715217805751</v>
      </c>
      <c r="E23" s="15">
        <v>1.90011157259325</v>
      </c>
      <c r="F23" s="15">
        <v>1.00346506343491</v>
      </c>
      <c r="G23" s="16">
        <v>1.70916527005611</v>
      </c>
      <c r="H23" s="15">
        <v>0.36561143147194802</v>
      </c>
      <c r="I23" s="19">
        <v>-0.45430674270876997</v>
      </c>
      <c r="J23" s="15">
        <v>1.6490525025779199</v>
      </c>
      <c r="K23" s="15">
        <v>0.234195618588902</v>
      </c>
      <c r="L23" s="16">
        <v>0.83341337147384698</v>
      </c>
      <c r="M23" s="15">
        <v>0.48864644445878203</v>
      </c>
      <c r="N23" s="15">
        <v>0.25601601816989</v>
      </c>
      <c r="O23" s="15">
        <v>0.27399621320772</v>
      </c>
      <c r="P23" s="15">
        <v>0.222371683016411</v>
      </c>
      <c r="Q23" s="16">
        <v>0.31157733054195502</v>
      </c>
      <c r="R23" s="15">
        <v>0.198794768803608</v>
      </c>
      <c r="S23" s="15">
        <v>0.27716825612444501</v>
      </c>
      <c r="T23" s="15">
        <v>0.23423175868454599</v>
      </c>
      <c r="U23" s="15">
        <v>0.60381072809387104</v>
      </c>
      <c r="V23" s="16">
        <v>0.25367288196765803</v>
      </c>
      <c r="W23" s="15">
        <v>0.37131406809380302</v>
      </c>
      <c r="X23" s="15">
        <v>0.488897459793112</v>
      </c>
      <c r="Y23" s="15">
        <v>0.34287694131280599</v>
      </c>
      <c r="Z23" s="15">
        <v>0.83736371741995796</v>
      </c>
      <c r="AA23" s="16">
        <v>0.43834894327113899</v>
      </c>
      <c r="AB23">
        <f>IFERROR(IF(OR(AB21=0,ABS(AB22/AB21)&gt;2),NA(),AB22/AB21),NA())</f>
        <v>0.12351216233949119</v>
      </c>
    </row>
    <row r="24" spans="2:28" ht="18" customHeight="1" x14ac:dyDescent="0.3">
      <c r="B24" s="1" t="s">
        <v>52</v>
      </c>
      <c r="C24" s="3">
        <f>SUM(C$21:C$22)</f>
        <v>-14156595</v>
      </c>
      <c r="D24" s="3">
        <f t="shared" ref="D24:AA24" si="8">SUM(D$21:D$22)</f>
        <v>-4225867</v>
      </c>
      <c r="E24" s="3">
        <f t="shared" si="8"/>
        <v>-4870348</v>
      </c>
      <c r="F24" s="3">
        <f t="shared" si="8"/>
        <v>-83727</v>
      </c>
      <c r="G24" s="18">
        <f t="shared" si="8"/>
        <v>-23336537</v>
      </c>
      <c r="H24" s="4">
        <f t="shared" si="8"/>
        <v>33332244</v>
      </c>
      <c r="I24" s="3">
        <f t="shared" si="8"/>
        <v>-57802185</v>
      </c>
      <c r="J24" s="3">
        <f t="shared" si="8"/>
        <v>-5283473</v>
      </c>
      <c r="K24" s="4">
        <f t="shared" si="8"/>
        <v>42482547</v>
      </c>
      <c r="L24" s="8">
        <f t="shared" si="8"/>
        <v>12729132</v>
      </c>
      <c r="M24" s="4">
        <f t="shared" si="8"/>
        <v>90557486</v>
      </c>
      <c r="N24" s="4">
        <f t="shared" si="8"/>
        <v>174610046</v>
      </c>
      <c r="O24" s="4">
        <f t="shared" si="8"/>
        <v>87599932</v>
      </c>
      <c r="P24" s="4">
        <f t="shared" si="8"/>
        <v>120152111</v>
      </c>
      <c r="Q24" s="8">
        <f t="shared" si="8"/>
        <v>472919575</v>
      </c>
      <c r="R24" s="4">
        <f t="shared" si="8"/>
        <v>486392378</v>
      </c>
      <c r="S24" s="4">
        <f t="shared" si="8"/>
        <v>161019463</v>
      </c>
      <c r="T24" s="4">
        <f t="shared" si="8"/>
        <v>233495957</v>
      </c>
      <c r="U24" s="4">
        <f t="shared" si="8"/>
        <v>38482257</v>
      </c>
      <c r="V24" s="8">
        <f t="shared" si="8"/>
        <v>919390055</v>
      </c>
      <c r="W24" s="4">
        <f t="shared" si="8"/>
        <v>92855502</v>
      </c>
      <c r="X24" s="4">
        <f t="shared" si="8"/>
        <v>55153231</v>
      </c>
      <c r="Y24" s="4">
        <f t="shared" si="8"/>
        <v>103355597</v>
      </c>
      <c r="Z24" s="4">
        <f t="shared" si="8"/>
        <v>7932814</v>
      </c>
      <c r="AA24" s="8">
        <f t="shared" si="8"/>
        <v>259297144</v>
      </c>
      <c r="AB24" s="131">
        <f>SUM(AB$21:AB$22)</f>
        <v>-222401902</v>
      </c>
    </row>
    <row r="25" spans="2:28" ht="18" customHeight="1" x14ac:dyDescent="0.3">
      <c r="B25" s="14" t="s">
        <v>53</v>
      </c>
      <c r="C25" s="19">
        <f>C$24/C$6</f>
        <v>-2.357464402276618E-2</v>
      </c>
      <c r="D25" s="19">
        <f t="shared" ref="D25:AA25" si="9">D$24/D$6</f>
        <v>-6.6444244920251501E-3</v>
      </c>
      <c r="E25" s="19">
        <f t="shared" si="9"/>
        <v>-7.1664335817036339E-3</v>
      </c>
      <c r="F25" s="19">
        <f t="shared" si="9"/>
        <v>-1.1531035206890476E-4</v>
      </c>
      <c r="G25" s="111">
        <f t="shared" si="9"/>
        <v>-8.8322046025371987E-3</v>
      </c>
      <c r="H25" s="15">
        <f t="shared" si="9"/>
        <v>4.4709891752513484E-2</v>
      </c>
      <c r="I25" s="19">
        <f t="shared" si="9"/>
        <v>-7.9915978852404437E-2</v>
      </c>
      <c r="J25" s="19">
        <f t="shared" si="9"/>
        <v>-6.1823536723222801E-3</v>
      </c>
      <c r="K25" s="15">
        <f t="shared" si="9"/>
        <v>4.4701073950570755E-2</v>
      </c>
      <c r="L25" s="116">
        <f t="shared" si="9"/>
        <v>3.8882004668879732E-3</v>
      </c>
      <c r="M25" s="15">
        <f t="shared" si="9"/>
        <v>7.4426009484752018E-2</v>
      </c>
      <c r="N25" s="15">
        <f t="shared" si="9"/>
        <v>0.14741429190664437</v>
      </c>
      <c r="O25" s="15">
        <f t="shared" si="9"/>
        <v>7.1880160646704008E-2</v>
      </c>
      <c r="P25" s="15">
        <f t="shared" si="9"/>
        <v>9.824321503230872E-2</v>
      </c>
      <c r="Q25" s="114">
        <f t="shared" si="9"/>
        <v>9.7651516094939536E-2</v>
      </c>
      <c r="R25" s="15">
        <f t="shared" si="9"/>
        <v>0.35021550392243694</v>
      </c>
      <c r="S25" s="15">
        <f t="shared" si="9"/>
        <v>0.10416689381685032</v>
      </c>
      <c r="T25" s="15">
        <f t="shared" si="9"/>
        <v>0.12126601812716137</v>
      </c>
      <c r="U25" s="15">
        <f t="shared" si="9"/>
        <v>2.1563745573159782E-2</v>
      </c>
      <c r="V25" s="110">
        <f t="shared" si="9"/>
        <v>0.13836467692821172</v>
      </c>
      <c r="W25" s="15">
        <f t="shared" si="9"/>
        <v>5.4925786391695042E-2</v>
      </c>
      <c r="X25" s="15">
        <f t="shared" si="9"/>
        <v>2.9375179546930606E-2</v>
      </c>
      <c r="Y25" s="15">
        <f t="shared" si="9"/>
        <v>4.753185863000868E-2</v>
      </c>
      <c r="Z25" s="15">
        <f t="shared" si="9"/>
        <v>3.8487950904843274E-3</v>
      </c>
      <c r="AA25" s="110">
        <f t="shared" si="9"/>
        <v>3.3227574986624618E-2</v>
      </c>
      <c r="AB25" s="133">
        <f>AB$24/AB$6</f>
        <v>-0.10821497608472157</v>
      </c>
    </row>
    <row r="26" spans="2:28" ht="21.75" customHeight="1" x14ac:dyDescent="0.3">
      <c r="B26" s="292" t="s">
        <v>54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2"/>
    </row>
    <row r="27" spans="2:28" ht="18" customHeight="1" x14ac:dyDescent="0.3">
      <c r="B27" s="1" t="s">
        <v>55</v>
      </c>
      <c r="C27" s="3">
        <v>-16753898</v>
      </c>
      <c r="D27" s="3">
        <v>-6819120</v>
      </c>
      <c r="E27" s="3">
        <v>-8666711</v>
      </c>
      <c r="F27" s="3">
        <v>-4115905</v>
      </c>
      <c r="G27" s="18">
        <v>-36355634</v>
      </c>
      <c r="H27" s="4">
        <v>29284835</v>
      </c>
      <c r="I27" s="3">
        <v>-60557878</v>
      </c>
      <c r="J27" s="3">
        <v>-9628014</v>
      </c>
      <c r="K27" s="4">
        <v>37711439</v>
      </c>
      <c r="L27" s="18">
        <v>-3189618</v>
      </c>
      <c r="M27" s="4">
        <v>89039605</v>
      </c>
      <c r="N27" s="4">
        <v>167860552</v>
      </c>
      <c r="O27" s="4">
        <v>78625415</v>
      </c>
      <c r="P27" s="4">
        <v>110758482</v>
      </c>
      <c r="Q27" s="8">
        <v>446284054</v>
      </c>
      <c r="R27" s="4">
        <v>477533848</v>
      </c>
      <c r="S27" s="4">
        <v>150354721</v>
      </c>
      <c r="T27" s="4">
        <v>227843495</v>
      </c>
      <c r="U27" s="4">
        <v>34600844</v>
      </c>
      <c r="V27" s="8">
        <v>890332908</v>
      </c>
      <c r="W27" s="4">
        <v>92428628</v>
      </c>
      <c r="X27" s="4">
        <v>53072222</v>
      </c>
      <c r="Y27" s="4">
        <v>97110828</v>
      </c>
      <c r="Z27" s="4">
        <v>1464219</v>
      </c>
      <c r="AA27" s="8">
        <v>244075897</v>
      </c>
      <c r="AB27" s="131">
        <v>-220605147</v>
      </c>
    </row>
    <row r="28" spans="2:28" ht="18" customHeight="1" x14ac:dyDescent="0.3">
      <c r="B28" s="9" t="s">
        <v>56</v>
      </c>
      <c r="C28" s="17">
        <v>2597303</v>
      </c>
      <c r="D28" s="17">
        <v>2593253</v>
      </c>
      <c r="E28" s="17">
        <v>3796363</v>
      </c>
      <c r="F28" s="17">
        <v>4032178</v>
      </c>
      <c r="G28" s="13">
        <v>13019097</v>
      </c>
      <c r="H28" s="17">
        <v>4047409</v>
      </c>
      <c r="I28" s="17">
        <v>2755693</v>
      </c>
      <c r="J28" s="17">
        <v>4344541</v>
      </c>
      <c r="K28" s="17">
        <v>4771108</v>
      </c>
      <c r="L28" s="13">
        <v>15918750</v>
      </c>
      <c r="M28" s="17">
        <v>1517881</v>
      </c>
      <c r="N28" s="17">
        <v>6749494</v>
      </c>
      <c r="O28" s="17">
        <v>8974517</v>
      </c>
      <c r="P28" s="17">
        <v>9393629</v>
      </c>
      <c r="Q28" s="13">
        <v>26635521</v>
      </c>
      <c r="R28" s="17">
        <v>8858530</v>
      </c>
      <c r="S28" s="17">
        <v>10664742</v>
      </c>
      <c r="T28" s="17">
        <v>5652462</v>
      </c>
      <c r="U28" s="17">
        <v>3881413</v>
      </c>
      <c r="V28" s="13">
        <v>29057147</v>
      </c>
      <c r="W28" s="17">
        <v>426874</v>
      </c>
      <c r="X28" s="17">
        <v>2081009</v>
      </c>
      <c r="Y28" s="17">
        <v>6244769</v>
      </c>
      <c r="Z28" s="17">
        <v>6468595</v>
      </c>
      <c r="AA28" s="13">
        <v>15221247</v>
      </c>
      <c r="AB28" s="134">
        <v>-1796755</v>
      </c>
    </row>
    <row r="29" spans="2:28" ht="18" customHeight="1" x14ac:dyDescent="0.3">
      <c r="B29" s="2" t="s">
        <v>57</v>
      </c>
      <c r="C29" s="20">
        <v>-0.21</v>
      </c>
      <c r="D29" s="20">
        <v>-0.17</v>
      </c>
      <c r="E29" s="20">
        <v>-0.11</v>
      </c>
      <c r="F29" s="21" t="s">
        <v>58</v>
      </c>
      <c r="G29" s="112">
        <v>-0.45</v>
      </c>
      <c r="H29" s="22">
        <v>0.37</v>
      </c>
      <c r="I29" s="20">
        <v>-0.76</v>
      </c>
      <c r="J29" s="20">
        <v>-0.12</v>
      </c>
      <c r="K29" s="21" t="s">
        <v>58</v>
      </c>
      <c r="L29" s="112">
        <v>-0.04</v>
      </c>
      <c r="M29" s="22">
        <v>1.1100000000000001</v>
      </c>
      <c r="N29" s="21" t="s">
        <v>58</v>
      </c>
      <c r="O29" s="21" t="s">
        <v>58</v>
      </c>
      <c r="P29" s="21" t="s">
        <v>58</v>
      </c>
      <c r="Q29" s="113">
        <v>5.75</v>
      </c>
      <c r="R29" s="22">
        <v>5.96</v>
      </c>
      <c r="S29" s="22">
        <v>1.88</v>
      </c>
      <c r="T29" s="22">
        <v>2.84</v>
      </c>
      <c r="U29" s="21" t="s">
        <v>58</v>
      </c>
      <c r="V29" s="113">
        <v>11.12</v>
      </c>
      <c r="W29" s="22">
        <v>1.1599999999999999</v>
      </c>
      <c r="X29" s="22">
        <v>0.66</v>
      </c>
      <c r="Y29" s="22">
        <v>1.21</v>
      </c>
      <c r="Z29" s="21" t="s">
        <v>58</v>
      </c>
      <c r="AA29" s="113">
        <v>3.05</v>
      </c>
      <c r="AB29" s="136">
        <v>-2.76</v>
      </c>
    </row>
  </sheetData>
  <mergeCells count="10">
    <mergeCell ref="B5:AA5"/>
    <mergeCell ref="B10:AA10"/>
    <mergeCell ref="B18:AA18"/>
    <mergeCell ref="B26:AA26"/>
    <mergeCell ref="B1:AA1"/>
    <mergeCell ref="C2:G2"/>
    <mergeCell ref="H2:L2"/>
    <mergeCell ref="M2:Q2"/>
    <mergeCell ref="R2:V2"/>
    <mergeCell ref="W2:AA2"/>
  </mergeCells>
  <conditionalFormatting sqref="L25">
    <cfRule type="expression" dxfId="0" priority="1">
      <formula>$L$25&lt;0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G8" formula="1"/>
    <ignoredError sqref="M2 W2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47"/>
  <sheetViews>
    <sheetView showGridLines="0" zoomScale="5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6" sqref="R16"/>
    </sheetView>
  </sheetViews>
  <sheetFormatPr defaultColWidth="8.6640625" defaultRowHeight="14.4" x14ac:dyDescent="0.3"/>
  <cols>
    <col min="1" max="1" width="2" customWidth="1"/>
    <col min="2" max="2" width="37.109375" bestFit="1" customWidth="1"/>
    <col min="3" max="3" width="13" customWidth="1"/>
    <col min="4" max="4" width="12.88671875" bestFit="1" customWidth="1"/>
    <col min="5" max="7" width="13" customWidth="1"/>
    <col min="8" max="8" width="13" bestFit="1" customWidth="1"/>
    <col min="9" max="16" width="13" customWidth="1"/>
    <col min="17" max="17" width="13" bestFit="1" customWidth="1"/>
    <col min="18" max="22" width="13" customWidth="1"/>
  </cols>
  <sheetData>
    <row r="1" spans="2:22" ht="30" customHeight="1" x14ac:dyDescent="0.3">
      <c r="B1" s="293" t="s">
        <v>59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</row>
    <row r="2" spans="2:22" ht="21.75" customHeight="1" x14ac:dyDescent="0.3">
      <c r="C2" s="294" t="s">
        <v>6</v>
      </c>
      <c r="D2" s="294"/>
      <c r="E2" s="294"/>
      <c r="F2" s="294"/>
      <c r="G2" s="295" t="s">
        <v>7</v>
      </c>
      <c r="H2" s="295"/>
      <c r="I2" s="295"/>
      <c r="J2" s="295"/>
      <c r="K2" s="294" t="s">
        <v>8</v>
      </c>
      <c r="L2" s="294"/>
      <c r="M2" s="294"/>
      <c r="N2" s="294"/>
      <c r="O2" s="295" t="s">
        <v>9</v>
      </c>
      <c r="P2" s="295"/>
      <c r="Q2" s="295"/>
      <c r="R2" s="295"/>
      <c r="S2" s="294" t="s">
        <v>10</v>
      </c>
      <c r="T2" s="294"/>
      <c r="U2" s="294"/>
      <c r="V2" s="294"/>
    </row>
    <row r="3" spans="2:22" ht="19.5" customHeight="1" x14ac:dyDescent="0.3">
      <c r="B3" s="5" t="s">
        <v>0</v>
      </c>
      <c r="C3" s="6" t="s">
        <v>13</v>
      </c>
      <c r="D3" s="6" t="s">
        <v>14</v>
      </c>
      <c r="E3" s="6" t="s">
        <v>15</v>
      </c>
      <c r="F3" s="7" t="s">
        <v>1</v>
      </c>
      <c r="G3" s="6" t="s">
        <v>17</v>
      </c>
      <c r="H3" s="6" t="s">
        <v>18</v>
      </c>
      <c r="I3" s="6" t="s">
        <v>19</v>
      </c>
      <c r="J3" s="7" t="s">
        <v>2</v>
      </c>
      <c r="K3" s="6" t="s">
        <v>21</v>
      </c>
      <c r="L3" s="6" t="s">
        <v>22</v>
      </c>
      <c r="M3" s="6" t="s">
        <v>23</v>
      </c>
      <c r="N3" s="7" t="s">
        <v>3</v>
      </c>
      <c r="O3" s="6" t="s">
        <v>25</v>
      </c>
      <c r="P3" s="6" t="s">
        <v>26</v>
      </c>
      <c r="Q3" s="6" t="s">
        <v>27</v>
      </c>
      <c r="R3" s="7" t="s">
        <v>4</v>
      </c>
      <c r="S3" s="6" t="s">
        <v>29</v>
      </c>
      <c r="T3" s="6" t="s">
        <v>30</v>
      </c>
      <c r="U3" s="6" t="s">
        <v>31</v>
      </c>
      <c r="V3" s="7" t="s">
        <v>5</v>
      </c>
    </row>
    <row r="4" spans="2:22" ht="4.8" customHeight="1" x14ac:dyDescent="0.3"/>
    <row r="5" spans="2:22" ht="21.75" customHeight="1" x14ac:dyDescent="0.3">
      <c r="B5" s="308" t="s">
        <v>60</v>
      </c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</row>
    <row r="6" spans="2:22" ht="21.75" customHeight="1" x14ac:dyDescent="0.3">
      <c r="B6" s="292" t="s">
        <v>61</v>
      </c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</row>
    <row r="7" spans="2:22" ht="18" customHeight="1" x14ac:dyDescent="0.3">
      <c r="B7" s="9" t="s">
        <v>62</v>
      </c>
      <c r="C7" s="17">
        <v>1599642608</v>
      </c>
      <c r="D7" s="17">
        <v>1576710181</v>
      </c>
      <c r="E7" s="17">
        <v>1548208036</v>
      </c>
      <c r="F7" s="13">
        <v>1580363112</v>
      </c>
      <c r="G7" s="17">
        <v>1579688633</v>
      </c>
      <c r="H7" s="17">
        <v>1826581231</v>
      </c>
      <c r="I7" s="17">
        <v>1798331696</v>
      </c>
      <c r="J7" s="13">
        <v>1985521668</v>
      </c>
      <c r="K7" s="17">
        <v>2001299000</v>
      </c>
      <c r="L7" s="17">
        <v>1980703934</v>
      </c>
      <c r="M7" s="17">
        <v>1978864780</v>
      </c>
      <c r="N7" s="13">
        <v>2159170561</v>
      </c>
      <c r="O7" s="17">
        <v>2222670078</v>
      </c>
      <c r="P7" s="17">
        <v>2201844590</v>
      </c>
      <c r="Q7" s="17">
        <v>3147953703</v>
      </c>
      <c r="R7" s="13">
        <v>3322359931</v>
      </c>
      <c r="S7" s="17">
        <v>3285559758</v>
      </c>
      <c r="T7" s="17">
        <v>3300464513</v>
      </c>
      <c r="U7" s="17">
        <v>3289648515</v>
      </c>
      <c r="V7" s="13">
        <v>3586044267</v>
      </c>
    </row>
    <row r="8" spans="2:22" ht="18" customHeight="1" x14ac:dyDescent="0.3">
      <c r="B8" s="9" t="s">
        <v>63</v>
      </c>
      <c r="C8" s="17">
        <v>14227851</v>
      </c>
      <c r="D8" s="17">
        <v>26742122</v>
      </c>
      <c r="E8" s="17">
        <v>41489092</v>
      </c>
      <c r="F8" s="13">
        <v>3956789</v>
      </c>
      <c r="G8" s="17">
        <v>16818130</v>
      </c>
      <c r="H8" s="17">
        <v>33649217</v>
      </c>
      <c r="I8" s="17">
        <v>46226184</v>
      </c>
      <c r="J8" s="13">
        <v>12066529</v>
      </c>
      <c r="K8" s="17">
        <v>36486155</v>
      </c>
      <c r="L8" s="17">
        <v>68066126</v>
      </c>
      <c r="M8" s="17">
        <v>119719383</v>
      </c>
      <c r="N8" s="13">
        <v>46977888</v>
      </c>
      <c r="O8" s="17">
        <v>96499215</v>
      </c>
      <c r="P8" s="17">
        <v>138654637</v>
      </c>
      <c r="Q8" s="17">
        <v>182373547</v>
      </c>
      <c r="R8" s="13">
        <v>55825795</v>
      </c>
      <c r="S8" s="17">
        <v>221550558</v>
      </c>
      <c r="T8" s="17">
        <v>260516310</v>
      </c>
      <c r="U8" s="17">
        <v>320466102</v>
      </c>
      <c r="V8" s="13">
        <v>72204179</v>
      </c>
    </row>
    <row r="9" spans="2:22" ht="18" customHeight="1" x14ac:dyDescent="0.3">
      <c r="B9" s="9" t="s">
        <v>64</v>
      </c>
      <c r="C9" s="17">
        <v>20034229</v>
      </c>
      <c r="D9" s="17">
        <v>12881799</v>
      </c>
      <c r="E9" s="17">
        <v>9442887</v>
      </c>
      <c r="F9" s="13">
        <v>6687265</v>
      </c>
      <c r="G9" s="17">
        <v>7367773</v>
      </c>
      <c r="H9" s="17">
        <v>7013961</v>
      </c>
      <c r="I9" s="17">
        <v>6305706</v>
      </c>
      <c r="J9" s="13">
        <v>10918162</v>
      </c>
      <c r="K9" s="17">
        <v>13295908</v>
      </c>
      <c r="L9" s="17">
        <v>13113267</v>
      </c>
      <c r="M9" s="17">
        <v>12119965</v>
      </c>
      <c r="N9" s="13">
        <v>15869154</v>
      </c>
      <c r="O9" s="17">
        <v>23375009</v>
      </c>
      <c r="P9" s="17">
        <v>23977327</v>
      </c>
      <c r="Q9" s="17">
        <v>24621832</v>
      </c>
      <c r="R9" s="13">
        <v>29719859</v>
      </c>
      <c r="S9" s="17">
        <v>29281463</v>
      </c>
      <c r="T9" s="17">
        <v>29102612</v>
      </c>
      <c r="U9" s="17">
        <v>26362232</v>
      </c>
      <c r="V9" s="13">
        <v>25139638</v>
      </c>
    </row>
    <row r="10" spans="2:22" ht="18" customHeight="1" x14ac:dyDescent="0.3">
      <c r="B10" s="9" t="s">
        <v>65</v>
      </c>
      <c r="C10" s="17">
        <v>5867470</v>
      </c>
      <c r="D10" s="17">
        <v>5856305</v>
      </c>
      <c r="E10" s="17">
        <v>5867470</v>
      </c>
      <c r="F10" s="13">
        <v>5871191</v>
      </c>
      <c r="G10" s="17">
        <v>6816481</v>
      </c>
      <c r="H10" s="17">
        <v>7017449</v>
      </c>
      <c r="I10" s="17">
        <v>7296570</v>
      </c>
      <c r="J10" s="13">
        <v>21977</v>
      </c>
      <c r="K10" s="17">
        <v>20812</v>
      </c>
      <c r="L10" s="17">
        <v>20812</v>
      </c>
      <c r="M10" s="17">
        <v>20812</v>
      </c>
      <c r="N10" s="13">
        <v>20812</v>
      </c>
      <c r="O10" s="17">
        <v>20812</v>
      </c>
      <c r="P10" s="17">
        <v>20812</v>
      </c>
      <c r="Q10" s="17">
        <v>20812</v>
      </c>
      <c r="R10" s="13">
        <v>20812</v>
      </c>
      <c r="S10" s="17">
        <v>69530</v>
      </c>
      <c r="T10" s="17">
        <v>77812</v>
      </c>
      <c r="U10" s="17">
        <v>84904</v>
      </c>
      <c r="V10" s="13">
        <v>81997</v>
      </c>
    </row>
    <row r="11" spans="2:22" ht="18" customHeight="1" x14ac:dyDescent="0.3">
      <c r="B11" s="9" t="s">
        <v>66</v>
      </c>
      <c r="C11" s="17">
        <v>5693947</v>
      </c>
      <c r="D11" s="17">
        <v>4334695</v>
      </c>
      <c r="E11" s="17">
        <v>5663367</v>
      </c>
      <c r="F11" s="13">
        <v>6085311</v>
      </c>
      <c r="G11" s="17">
        <v>4050995</v>
      </c>
      <c r="H11" s="17">
        <v>2054172</v>
      </c>
      <c r="I11" s="17">
        <v>1077215</v>
      </c>
      <c r="J11" s="13">
        <v>541578</v>
      </c>
      <c r="K11" s="17">
        <v>896780</v>
      </c>
      <c r="L11" s="17">
        <v>215019</v>
      </c>
      <c r="M11" s="17">
        <v>752396</v>
      </c>
      <c r="N11" s="13">
        <v>355357</v>
      </c>
      <c r="O11" s="17">
        <v>345486</v>
      </c>
      <c r="P11" s="17">
        <v>364191</v>
      </c>
      <c r="Q11" s="17">
        <v>384130</v>
      </c>
      <c r="R11" s="13">
        <v>0</v>
      </c>
      <c r="S11" s="17">
        <v>0</v>
      </c>
      <c r="T11" s="17">
        <v>0</v>
      </c>
      <c r="U11" s="17">
        <v>0</v>
      </c>
      <c r="V11" s="13">
        <v>0</v>
      </c>
    </row>
    <row r="12" spans="2:22" ht="18" customHeight="1" x14ac:dyDescent="0.3">
      <c r="B12" s="1" t="s">
        <v>67</v>
      </c>
      <c r="C12" s="4">
        <f>SUM(C$7:C$11)</f>
        <v>1645466105</v>
      </c>
      <c r="D12" s="4">
        <f t="shared" ref="D12:V12" si="0">SUM(D$7:D$11)</f>
        <v>1626525102</v>
      </c>
      <c r="E12" s="4">
        <f t="shared" si="0"/>
        <v>1610670852</v>
      </c>
      <c r="F12" s="13">
        <f t="shared" si="0"/>
        <v>1602963668</v>
      </c>
      <c r="G12" s="4">
        <f t="shared" si="0"/>
        <v>1614742012</v>
      </c>
      <c r="H12" s="4">
        <f t="shared" si="0"/>
        <v>1876316030</v>
      </c>
      <c r="I12" s="4">
        <f t="shared" si="0"/>
        <v>1859237371</v>
      </c>
      <c r="J12" s="13">
        <f t="shared" si="0"/>
        <v>2009069914</v>
      </c>
      <c r="K12" s="4">
        <f t="shared" si="0"/>
        <v>2051998655</v>
      </c>
      <c r="L12" s="4">
        <f t="shared" si="0"/>
        <v>2062119158</v>
      </c>
      <c r="M12" s="4">
        <f t="shared" si="0"/>
        <v>2111477336</v>
      </c>
      <c r="N12" s="13">
        <f t="shared" si="0"/>
        <v>2222393772</v>
      </c>
      <c r="O12" s="4">
        <f t="shared" si="0"/>
        <v>2342910600</v>
      </c>
      <c r="P12" s="4">
        <f t="shared" si="0"/>
        <v>2364861557</v>
      </c>
      <c r="Q12" s="4">
        <f>SUM(Q$7:Q$11)</f>
        <v>3355354024</v>
      </c>
      <c r="R12" s="13">
        <f t="shared" si="0"/>
        <v>3407926397</v>
      </c>
      <c r="S12" s="4">
        <f t="shared" si="0"/>
        <v>3536461309</v>
      </c>
      <c r="T12" s="4">
        <f t="shared" si="0"/>
        <v>3590161247</v>
      </c>
      <c r="U12" s="4">
        <f t="shared" si="0"/>
        <v>3636561753</v>
      </c>
      <c r="V12" s="13">
        <f t="shared" si="0"/>
        <v>3683470081</v>
      </c>
    </row>
    <row r="13" spans="2:22" ht="21.75" customHeight="1" x14ac:dyDescent="0.3">
      <c r="B13" s="292" t="s">
        <v>68</v>
      </c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</row>
    <row r="14" spans="2:22" ht="18" customHeight="1" x14ac:dyDescent="0.3">
      <c r="B14" s="9" t="s">
        <v>69</v>
      </c>
      <c r="C14" s="17">
        <v>870524220</v>
      </c>
      <c r="D14" s="17">
        <v>965305447</v>
      </c>
      <c r="E14" s="17">
        <v>996838803</v>
      </c>
      <c r="F14" s="13">
        <v>976532151</v>
      </c>
      <c r="G14" s="17">
        <v>1023172899</v>
      </c>
      <c r="H14" s="17">
        <v>1090914499</v>
      </c>
      <c r="I14" s="17">
        <v>1057251513</v>
      </c>
      <c r="J14" s="13">
        <v>1238161960</v>
      </c>
      <c r="K14" s="17">
        <v>1548020917</v>
      </c>
      <c r="L14" s="17">
        <v>1796877024</v>
      </c>
      <c r="M14" s="17">
        <v>1762795802</v>
      </c>
      <c r="N14" s="13">
        <v>1596967107</v>
      </c>
      <c r="O14" s="17">
        <v>1821570697</v>
      </c>
      <c r="P14" s="17">
        <v>2137776182</v>
      </c>
      <c r="Q14" s="17">
        <v>2338788769</v>
      </c>
      <c r="R14" s="13">
        <v>2543351777</v>
      </c>
      <c r="S14" s="17">
        <v>2599505753</v>
      </c>
      <c r="T14" s="17">
        <v>2727122212</v>
      </c>
      <c r="U14" s="17">
        <v>2851411177</v>
      </c>
      <c r="V14" s="13">
        <v>2880321793</v>
      </c>
    </row>
    <row r="15" spans="2:22" ht="18" customHeight="1" x14ac:dyDescent="0.3">
      <c r="B15" s="9" t="s">
        <v>70</v>
      </c>
      <c r="C15" s="17">
        <v>685651605</v>
      </c>
      <c r="D15" s="17">
        <v>756797683</v>
      </c>
      <c r="E15" s="17">
        <v>751158633</v>
      </c>
      <c r="F15" s="13">
        <v>668332043</v>
      </c>
      <c r="G15" s="17">
        <v>759549990</v>
      </c>
      <c r="H15" s="17">
        <v>808947883</v>
      </c>
      <c r="I15" s="17">
        <v>892330222</v>
      </c>
      <c r="J15" s="13">
        <v>950302178</v>
      </c>
      <c r="K15" s="17">
        <v>1087337975</v>
      </c>
      <c r="L15" s="17">
        <v>1200477567</v>
      </c>
      <c r="M15" s="17">
        <v>1209389387</v>
      </c>
      <c r="N15" s="13">
        <v>1179786142</v>
      </c>
      <c r="O15" s="17">
        <v>1438677672</v>
      </c>
      <c r="P15" s="17">
        <v>1516852201</v>
      </c>
      <c r="Q15" s="17">
        <v>1611094132</v>
      </c>
      <c r="R15" s="13">
        <v>1443866262</v>
      </c>
      <c r="S15" s="17">
        <v>1599602145</v>
      </c>
      <c r="T15" s="17">
        <v>1814733919</v>
      </c>
      <c r="U15" s="17">
        <v>1709498906</v>
      </c>
      <c r="V15" s="13">
        <v>1659292035</v>
      </c>
    </row>
    <row r="16" spans="2:22" ht="18" customHeight="1" x14ac:dyDescent="0.3">
      <c r="B16" s="9" t="s">
        <v>128</v>
      </c>
      <c r="C16" s="51" t="s">
        <v>58</v>
      </c>
      <c r="D16" s="51" t="s">
        <v>58</v>
      </c>
      <c r="E16" s="51" t="s">
        <v>58</v>
      </c>
      <c r="F16" s="50" t="s">
        <v>58</v>
      </c>
      <c r="G16" s="51" t="s">
        <v>58</v>
      </c>
      <c r="H16" s="51" t="s">
        <v>58</v>
      </c>
      <c r="I16" s="51" t="s">
        <v>58</v>
      </c>
      <c r="J16" s="50" t="s">
        <v>58</v>
      </c>
      <c r="K16" s="51" t="s">
        <v>58</v>
      </c>
      <c r="L16" s="51" t="s">
        <v>58</v>
      </c>
      <c r="M16" s="51" t="s">
        <v>58</v>
      </c>
      <c r="N16" s="50" t="s">
        <v>58</v>
      </c>
      <c r="O16" s="51" t="s">
        <v>58</v>
      </c>
      <c r="P16" s="51" t="s">
        <v>58</v>
      </c>
      <c r="Q16" s="17">
        <v>167900327</v>
      </c>
      <c r="R16" s="50" t="s">
        <v>58</v>
      </c>
      <c r="S16" s="51" t="s">
        <v>58</v>
      </c>
      <c r="T16" s="51" t="s">
        <v>58</v>
      </c>
      <c r="U16" s="51" t="s">
        <v>58</v>
      </c>
      <c r="V16" s="50" t="s">
        <v>58</v>
      </c>
    </row>
    <row r="17" spans="2:22" ht="18" customHeight="1" x14ac:dyDescent="0.3">
      <c r="B17" s="9" t="s">
        <v>71</v>
      </c>
      <c r="C17" s="17">
        <v>154670438</v>
      </c>
      <c r="D17" s="17">
        <v>155770979</v>
      </c>
      <c r="E17" s="17">
        <v>145331805</v>
      </c>
      <c r="F17" s="13">
        <v>177116247</v>
      </c>
      <c r="G17" s="17">
        <v>296031804</v>
      </c>
      <c r="H17" s="17">
        <v>285000492</v>
      </c>
      <c r="I17" s="17">
        <v>452365350</v>
      </c>
      <c r="J17" s="13">
        <v>497963520</v>
      </c>
      <c r="K17" s="17">
        <v>327967960</v>
      </c>
      <c r="L17" s="17">
        <v>311063251</v>
      </c>
      <c r="M17" s="17">
        <v>320036269</v>
      </c>
      <c r="N17" s="13">
        <v>456269505</v>
      </c>
      <c r="O17" s="17">
        <v>722572696</v>
      </c>
      <c r="P17" s="17">
        <v>491094061</v>
      </c>
      <c r="Q17" s="17">
        <v>662068282</v>
      </c>
      <c r="R17" s="13">
        <v>352233706</v>
      </c>
      <c r="S17" s="17">
        <v>354038672</v>
      </c>
      <c r="T17" s="17">
        <v>353936318</v>
      </c>
      <c r="U17" s="17">
        <v>350667194</v>
      </c>
      <c r="V17" s="13">
        <v>313950137</v>
      </c>
    </row>
    <row r="18" spans="2:22" ht="18" customHeight="1" x14ac:dyDescent="0.3">
      <c r="B18" s="1" t="s">
        <v>72</v>
      </c>
      <c r="C18" s="4">
        <f t="shared" ref="C18:V18" si="1">SUM(C$14:C$17)</f>
        <v>1710846263</v>
      </c>
      <c r="D18" s="4">
        <f t="shared" si="1"/>
        <v>1877874109</v>
      </c>
      <c r="E18" s="4">
        <f t="shared" si="1"/>
        <v>1893329241</v>
      </c>
      <c r="F18" s="8">
        <f t="shared" si="1"/>
        <v>1821980441</v>
      </c>
      <c r="G18" s="4">
        <f t="shared" si="1"/>
        <v>2078754693</v>
      </c>
      <c r="H18" s="4">
        <f t="shared" si="1"/>
        <v>2184862874</v>
      </c>
      <c r="I18" s="4">
        <f t="shared" si="1"/>
        <v>2401947085</v>
      </c>
      <c r="J18" s="8">
        <f t="shared" si="1"/>
        <v>2686427658</v>
      </c>
      <c r="K18" s="4">
        <f t="shared" si="1"/>
        <v>2963326852</v>
      </c>
      <c r="L18" s="4">
        <f t="shared" si="1"/>
        <v>3308417842</v>
      </c>
      <c r="M18" s="4">
        <f t="shared" si="1"/>
        <v>3292221458</v>
      </c>
      <c r="N18" s="8">
        <f t="shared" si="1"/>
        <v>3233022754</v>
      </c>
      <c r="O18" s="4">
        <f t="shared" si="1"/>
        <v>3982821065</v>
      </c>
      <c r="P18" s="4">
        <f t="shared" si="1"/>
        <v>4145722444</v>
      </c>
      <c r="Q18" s="4">
        <f t="shared" si="1"/>
        <v>4779851510</v>
      </c>
      <c r="R18" s="8">
        <f t="shared" si="1"/>
        <v>4339451745</v>
      </c>
      <c r="S18" s="4">
        <f t="shared" si="1"/>
        <v>4553146570</v>
      </c>
      <c r="T18" s="4">
        <f t="shared" si="1"/>
        <v>4895792449</v>
      </c>
      <c r="U18" s="4">
        <f t="shared" si="1"/>
        <v>4911577277</v>
      </c>
      <c r="V18" s="8">
        <f t="shared" si="1"/>
        <v>4853563965</v>
      </c>
    </row>
    <row r="19" spans="2:22" ht="18" customHeight="1" x14ac:dyDescent="0.3">
      <c r="B19" s="12" t="s">
        <v>73</v>
      </c>
      <c r="C19" s="13">
        <f t="shared" ref="C19:V19" si="2">SUM(C$18,C$12)</f>
        <v>3356312368</v>
      </c>
      <c r="D19" s="13">
        <f t="shared" si="2"/>
        <v>3504399211</v>
      </c>
      <c r="E19" s="13">
        <f t="shared" si="2"/>
        <v>3504000093</v>
      </c>
      <c r="F19" s="8">
        <f t="shared" si="2"/>
        <v>3424944109</v>
      </c>
      <c r="G19" s="13">
        <f t="shared" si="2"/>
        <v>3693496705</v>
      </c>
      <c r="H19" s="13">
        <f t="shared" si="2"/>
        <v>4061178904</v>
      </c>
      <c r="I19" s="13">
        <f t="shared" si="2"/>
        <v>4261184456</v>
      </c>
      <c r="J19" s="8">
        <f t="shared" si="2"/>
        <v>4695497572</v>
      </c>
      <c r="K19" s="13">
        <f t="shared" si="2"/>
        <v>5015325507</v>
      </c>
      <c r="L19" s="13">
        <f t="shared" si="2"/>
        <v>5370537000</v>
      </c>
      <c r="M19" s="13">
        <f t="shared" si="2"/>
        <v>5403698794</v>
      </c>
      <c r="N19" s="8">
        <f t="shared" si="2"/>
        <v>5455416526</v>
      </c>
      <c r="O19" s="13">
        <f t="shared" si="2"/>
        <v>6325731665</v>
      </c>
      <c r="P19" s="13">
        <f t="shared" si="2"/>
        <v>6510584001</v>
      </c>
      <c r="Q19" s="13">
        <f t="shared" si="2"/>
        <v>8135205534</v>
      </c>
      <c r="R19" s="8">
        <f t="shared" si="2"/>
        <v>7747378142</v>
      </c>
      <c r="S19" s="13">
        <f t="shared" si="2"/>
        <v>8089607879</v>
      </c>
      <c r="T19" s="13">
        <f t="shared" si="2"/>
        <v>8485953696</v>
      </c>
      <c r="U19" s="13">
        <f t="shared" si="2"/>
        <v>8548139030</v>
      </c>
      <c r="V19" s="8">
        <f t="shared" si="2"/>
        <v>8537034046</v>
      </c>
    </row>
    <row r="20" spans="2:22" ht="21.75" customHeight="1" x14ac:dyDescent="0.3">
      <c r="B20" s="308" t="s">
        <v>74</v>
      </c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</row>
    <row r="21" spans="2:22" ht="21.75" customHeight="1" x14ac:dyDescent="0.3">
      <c r="B21" s="292" t="s">
        <v>75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</row>
    <row r="22" spans="2:22" ht="18" customHeight="1" x14ac:dyDescent="0.3">
      <c r="B22" s="9" t="s">
        <v>76</v>
      </c>
      <c r="C22" s="17">
        <v>400000000</v>
      </c>
      <c r="D22" s="17">
        <v>400000000</v>
      </c>
      <c r="E22" s="17">
        <v>400000000</v>
      </c>
      <c r="F22" s="13">
        <v>400000000</v>
      </c>
      <c r="G22" s="17">
        <v>400000000</v>
      </c>
      <c r="H22" s="17">
        <v>400000000</v>
      </c>
      <c r="I22" s="17">
        <v>400000000</v>
      </c>
      <c r="J22" s="13">
        <v>400000000</v>
      </c>
      <c r="K22" s="17">
        <v>400000000</v>
      </c>
      <c r="L22" s="17">
        <v>400000000</v>
      </c>
      <c r="M22" s="17">
        <v>400000000</v>
      </c>
      <c r="N22" s="13">
        <v>400000000</v>
      </c>
      <c r="O22" s="17">
        <v>400000000</v>
      </c>
      <c r="P22" s="17">
        <v>400000000</v>
      </c>
      <c r="Q22" s="17">
        <v>400000000</v>
      </c>
      <c r="R22" s="13">
        <v>400000000</v>
      </c>
      <c r="S22" s="17">
        <v>400000000</v>
      </c>
      <c r="T22" s="17">
        <v>400000000</v>
      </c>
      <c r="U22" s="17">
        <v>400000000</v>
      </c>
      <c r="V22" s="13">
        <v>400000000</v>
      </c>
    </row>
    <row r="23" spans="2:22" ht="18" customHeight="1" x14ac:dyDescent="0.3">
      <c r="B23" s="9" t="s">
        <v>77</v>
      </c>
      <c r="C23" s="17">
        <v>0</v>
      </c>
      <c r="D23" s="17">
        <v>0</v>
      </c>
      <c r="E23" s="17">
        <v>0</v>
      </c>
      <c r="F23" s="13">
        <v>0</v>
      </c>
      <c r="G23" s="17">
        <v>0</v>
      </c>
      <c r="H23" s="17">
        <v>0</v>
      </c>
      <c r="I23" s="17">
        <v>0</v>
      </c>
      <c r="J23" s="13">
        <v>0</v>
      </c>
      <c r="K23" s="17">
        <v>0</v>
      </c>
      <c r="L23" s="10">
        <v>-25388998</v>
      </c>
      <c r="M23" s="10">
        <v>-25388998</v>
      </c>
      <c r="N23" s="18">
        <v>-25388998</v>
      </c>
      <c r="O23" s="17">
        <v>0</v>
      </c>
      <c r="P23" s="17">
        <v>0</v>
      </c>
      <c r="Q23" s="17">
        <v>0</v>
      </c>
      <c r="R23" s="13">
        <v>0</v>
      </c>
      <c r="S23" s="17">
        <v>0</v>
      </c>
      <c r="T23" s="17">
        <v>0</v>
      </c>
      <c r="U23" s="17">
        <v>0</v>
      </c>
      <c r="V23" s="13">
        <v>0</v>
      </c>
    </row>
    <row r="24" spans="2:22" ht="18" customHeight="1" x14ac:dyDescent="0.3">
      <c r="B24" s="9" t="s">
        <v>78</v>
      </c>
      <c r="C24" s="17">
        <v>1432583378</v>
      </c>
      <c r="D24" s="17">
        <v>1435504915</v>
      </c>
      <c r="E24" s="17">
        <v>1440844903</v>
      </c>
      <c r="F24" s="13">
        <v>1442060456</v>
      </c>
      <c r="G24" s="17">
        <v>1471858015</v>
      </c>
      <c r="H24" s="17">
        <v>1769229643</v>
      </c>
      <c r="I24" s="17">
        <v>1772911677</v>
      </c>
      <c r="J24" s="13">
        <v>1813887128</v>
      </c>
      <c r="K24" s="17">
        <v>1750238711</v>
      </c>
      <c r="L24" s="17">
        <v>1745246738</v>
      </c>
      <c r="M24" s="17">
        <v>1733028098</v>
      </c>
      <c r="N24" s="13">
        <v>1735425623</v>
      </c>
      <c r="O24" s="17">
        <v>1818481801</v>
      </c>
      <c r="P24" s="17">
        <v>1829669152</v>
      </c>
      <c r="Q24" s="17">
        <v>2379040510</v>
      </c>
      <c r="R24" s="13">
        <v>2394178238</v>
      </c>
      <c r="S24" s="17">
        <v>2419094457</v>
      </c>
      <c r="T24" s="17">
        <v>2420832381</v>
      </c>
      <c r="U24" s="17">
        <v>2412913569</v>
      </c>
      <c r="V24" s="13">
        <v>2414837399</v>
      </c>
    </row>
    <row r="25" spans="2:22" ht="18" customHeight="1" x14ac:dyDescent="0.3">
      <c r="B25" s="9" t="s">
        <v>79</v>
      </c>
      <c r="C25" s="10">
        <v>-297839234</v>
      </c>
      <c r="D25" s="10">
        <v>-297839234</v>
      </c>
      <c r="E25" s="10">
        <v>-297839234</v>
      </c>
      <c r="F25" s="11">
        <v>-297839234</v>
      </c>
      <c r="G25" s="10">
        <v>-334194868</v>
      </c>
      <c r="H25" s="10">
        <v>-324393877</v>
      </c>
      <c r="I25" s="10">
        <v>-333940000</v>
      </c>
      <c r="J25" s="11">
        <v>-367624208</v>
      </c>
      <c r="K25" s="10">
        <v>-370813826</v>
      </c>
      <c r="L25" s="10">
        <v>-370813826</v>
      </c>
      <c r="M25" s="10">
        <v>-35288254</v>
      </c>
      <c r="N25" s="13">
        <v>75470228</v>
      </c>
      <c r="O25" s="17">
        <v>527615078</v>
      </c>
      <c r="P25" s="17">
        <v>677969799</v>
      </c>
      <c r="Q25" s="17">
        <v>905813294</v>
      </c>
      <c r="R25" s="13">
        <v>940414138</v>
      </c>
      <c r="S25" s="17">
        <v>1011347846</v>
      </c>
      <c r="T25" s="17">
        <v>1064420052</v>
      </c>
      <c r="U25" s="17">
        <v>1161530880</v>
      </c>
      <c r="V25" s="13">
        <v>1162995099</v>
      </c>
    </row>
    <row r="26" spans="2:22" ht="18" customHeight="1" x14ac:dyDescent="0.3">
      <c r="B26" s="9" t="s">
        <v>129</v>
      </c>
      <c r="C26" s="10">
        <v>-16753898</v>
      </c>
      <c r="D26" s="10">
        <v>-23573018</v>
      </c>
      <c r="E26" s="10">
        <v>-32239729</v>
      </c>
      <c r="F26" s="11">
        <v>-36355634</v>
      </c>
      <c r="G26" s="17">
        <v>29284835</v>
      </c>
      <c r="H26" s="10">
        <v>-31273043</v>
      </c>
      <c r="I26" s="10">
        <v>-40901057</v>
      </c>
      <c r="J26" s="11">
        <v>-3189618</v>
      </c>
      <c r="K26" s="17">
        <v>89039605</v>
      </c>
      <c r="L26" s="17">
        <v>256900157</v>
      </c>
      <c r="M26" s="51" t="s">
        <v>58</v>
      </c>
      <c r="N26" s="50" t="s">
        <v>58</v>
      </c>
      <c r="O26" s="51" t="s">
        <v>58</v>
      </c>
      <c r="P26" s="51" t="s">
        <v>58</v>
      </c>
      <c r="Q26" s="51" t="s">
        <v>58</v>
      </c>
      <c r="R26" s="50" t="s">
        <v>58</v>
      </c>
      <c r="S26" s="51" t="s">
        <v>58</v>
      </c>
      <c r="T26" s="51" t="s">
        <v>58</v>
      </c>
      <c r="U26" s="51" t="s">
        <v>58</v>
      </c>
      <c r="V26" s="50" t="s">
        <v>58</v>
      </c>
    </row>
    <row r="27" spans="2:22" s="42" customFormat="1" ht="18" customHeight="1" x14ac:dyDescent="0.3">
      <c r="B27" s="46" t="s">
        <v>80</v>
      </c>
      <c r="C27" s="47">
        <f>SUM(C22:C26)</f>
        <v>1517990246</v>
      </c>
      <c r="D27" s="47">
        <f t="shared" ref="D27:V27" si="3">SUM(D22:D26)</f>
        <v>1514092663</v>
      </c>
      <c r="E27" s="47">
        <f t="shared" si="3"/>
        <v>1510765940</v>
      </c>
      <c r="F27" s="48">
        <f t="shared" si="3"/>
        <v>1507865588</v>
      </c>
      <c r="G27" s="47">
        <f>SUM(G22:G26)</f>
        <v>1566947982</v>
      </c>
      <c r="H27" s="47">
        <f>SUM(H22:H26)</f>
        <v>1813562723</v>
      </c>
      <c r="I27" s="47">
        <f t="shared" si="3"/>
        <v>1798070620</v>
      </c>
      <c r="J27" s="48">
        <f>SUM(J22:J26)</f>
        <v>1843073302</v>
      </c>
      <c r="K27" s="47">
        <f>SUM(K22:K26)</f>
        <v>1868464490</v>
      </c>
      <c r="L27" s="47">
        <f t="shared" si="3"/>
        <v>2005944071</v>
      </c>
      <c r="M27" s="47">
        <f t="shared" si="3"/>
        <v>2072350846</v>
      </c>
      <c r="N27" s="48">
        <f t="shared" si="3"/>
        <v>2185506853</v>
      </c>
      <c r="O27" s="47">
        <f t="shared" si="3"/>
        <v>2746096879</v>
      </c>
      <c r="P27" s="47">
        <f t="shared" si="3"/>
        <v>2907638951</v>
      </c>
      <c r="Q27" s="47">
        <f t="shared" si="3"/>
        <v>3684853804</v>
      </c>
      <c r="R27" s="48">
        <f t="shared" si="3"/>
        <v>3734592376</v>
      </c>
      <c r="S27" s="47">
        <f t="shared" si="3"/>
        <v>3830442303</v>
      </c>
      <c r="T27" s="47">
        <f t="shared" si="3"/>
        <v>3885252433</v>
      </c>
      <c r="U27" s="47">
        <f t="shared" si="3"/>
        <v>3974444449</v>
      </c>
      <c r="V27" s="48">
        <f t="shared" si="3"/>
        <v>3977832498</v>
      </c>
    </row>
    <row r="28" spans="2:22" ht="18" customHeight="1" x14ac:dyDescent="0.3">
      <c r="B28" s="9" t="s">
        <v>81</v>
      </c>
      <c r="C28" s="17">
        <v>35251044</v>
      </c>
      <c r="D28" s="17">
        <v>36427793</v>
      </c>
      <c r="E28" s="17">
        <v>30910600</v>
      </c>
      <c r="F28" s="13">
        <v>35214304</v>
      </c>
      <c r="G28" s="17">
        <v>32758810</v>
      </c>
      <c r="H28" s="17">
        <v>41642829</v>
      </c>
      <c r="I28" s="17">
        <v>44315864</v>
      </c>
      <c r="J28" s="13">
        <v>57280922</v>
      </c>
      <c r="K28" s="17">
        <v>54654010</v>
      </c>
      <c r="L28" s="17">
        <v>62122761</v>
      </c>
      <c r="M28" s="17">
        <v>69051324</v>
      </c>
      <c r="N28" s="13">
        <v>76266769</v>
      </c>
      <c r="O28" s="17">
        <v>94153152</v>
      </c>
      <c r="P28" s="17">
        <v>95744125</v>
      </c>
      <c r="Q28" s="17">
        <v>118351860</v>
      </c>
      <c r="R28" s="13">
        <v>122018569</v>
      </c>
      <c r="S28" s="17">
        <v>121277350</v>
      </c>
      <c r="T28" s="17">
        <v>122305261</v>
      </c>
      <c r="U28" s="17">
        <v>121012528</v>
      </c>
      <c r="V28" s="13">
        <v>127973731</v>
      </c>
    </row>
    <row r="29" spans="2:22" ht="18" customHeight="1" x14ac:dyDescent="0.3">
      <c r="B29" s="12" t="s">
        <v>82</v>
      </c>
      <c r="C29" s="13">
        <f>SUM(C$27:C$28)</f>
        <v>1553241290</v>
      </c>
      <c r="D29" s="13">
        <f>SUM(D$27:D$28)</f>
        <v>1550520456</v>
      </c>
      <c r="E29" s="13">
        <f>SUM(E$27:E$28)</f>
        <v>1541676540</v>
      </c>
      <c r="F29" s="8">
        <f>SUM(F$27:F$28)</f>
        <v>1543079892</v>
      </c>
      <c r="G29" s="13">
        <f>SUM(G$27:G$28)</f>
        <v>1599706792</v>
      </c>
      <c r="H29" s="13">
        <f t="shared" ref="H29:I29" si="4">SUM(H$27:H$28)</f>
        <v>1855205552</v>
      </c>
      <c r="I29" s="13">
        <f t="shared" si="4"/>
        <v>1842386484</v>
      </c>
      <c r="J29" s="8">
        <f>SUM(J$27:J$28)</f>
        <v>1900354224</v>
      </c>
      <c r="K29" s="13">
        <f t="shared" ref="K29:M29" si="5">SUM(K$27:K$28)</f>
        <v>1923118500</v>
      </c>
      <c r="L29" s="13">
        <f t="shared" si="5"/>
        <v>2068066832</v>
      </c>
      <c r="M29" s="13">
        <f t="shared" si="5"/>
        <v>2141402170</v>
      </c>
      <c r="N29" s="8">
        <f>SUM(N$27:N$28)</f>
        <v>2261773622</v>
      </c>
      <c r="O29" s="13">
        <f t="shared" ref="O29:Q29" si="6">SUM(O$27:O$28)</f>
        <v>2840250031</v>
      </c>
      <c r="P29" s="13">
        <f t="shared" si="6"/>
        <v>3003383076</v>
      </c>
      <c r="Q29" s="13">
        <f t="shared" si="6"/>
        <v>3803205664</v>
      </c>
      <c r="R29" s="8">
        <f>SUM(R$27:R$28)</f>
        <v>3856610945</v>
      </c>
      <c r="S29" s="13">
        <f t="shared" ref="S29:U29" si="7">SUM(S$27:S$28)</f>
        <v>3951719653</v>
      </c>
      <c r="T29" s="13">
        <f t="shared" si="7"/>
        <v>4007557694</v>
      </c>
      <c r="U29" s="13">
        <f t="shared" si="7"/>
        <v>4095456977</v>
      </c>
      <c r="V29" s="8">
        <f>SUM(V$27:V$28)</f>
        <v>4105806229</v>
      </c>
    </row>
    <row r="30" spans="2:22" ht="21.75" customHeight="1" x14ac:dyDescent="0.3">
      <c r="B30" s="292" t="s">
        <v>83</v>
      </c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</row>
    <row r="31" spans="2:22" ht="18" customHeight="1" x14ac:dyDescent="0.3">
      <c r="B31" s="9" t="s">
        <v>84</v>
      </c>
      <c r="C31" s="17">
        <v>30067785</v>
      </c>
      <c r="D31" s="17">
        <v>25215804</v>
      </c>
      <c r="E31" s="17">
        <v>20401547</v>
      </c>
      <c r="F31" s="13">
        <v>25034918</v>
      </c>
      <c r="G31" s="17">
        <v>22929806</v>
      </c>
      <c r="H31" s="17">
        <v>17783883</v>
      </c>
      <c r="I31" s="17">
        <v>12432030</v>
      </c>
      <c r="J31" s="13">
        <v>8240932</v>
      </c>
      <c r="K31" s="17">
        <v>790033</v>
      </c>
      <c r="L31" s="17">
        <v>630578</v>
      </c>
      <c r="M31" s="17">
        <v>362273</v>
      </c>
      <c r="N31" s="13">
        <v>164614</v>
      </c>
      <c r="O31" s="17">
        <v>0</v>
      </c>
      <c r="P31" s="17">
        <v>0</v>
      </c>
      <c r="Q31" s="17">
        <v>0</v>
      </c>
      <c r="R31" s="13">
        <v>0</v>
      </c>
      <c r="S31" s="17">
        <v>0</v>
      </c>
      <c r="T31" s="17">
        <v>0</v>
      </c>
      <c r="U31" s="17">
        <v>0</v>
      </c>
      <c r="V31" s="13">
        <v>0</v>
      </c>
    </row>
    <row r="32" spans="2:22" ht="18" customHeight="1" x14ac:dyDescent="0.3">
      <c r="B32" s="9" t="s">
        <v>85</v>
      </c>
      <c r="C32" s="17">
        <v>1209526</v>
      </c>
      <c r="D32" s="17">
        <v>1164776</v>
      </c>
      <c r="E32" s="17">
        <v>55758447</v>
      </c>
      <c r="F32" s="13">
        <v>56066868</v>
      </c>
      <c r="G32" s="17">
        <v>53333852</v>
      </c>
      <c r="H32" s="17">
        <v>58103084</v>
      </c>
      <c r="I32" s="17">
        <v>52554813</v>
      </c>
      <c r="J32" s="13">
        <v>71523861</v>
      </c>
      <c r="K32" s="17">
        <v>85935792</v>
      </c>
      <c r="L32" s="17">
        <v>86866743</v>
      </c>
      <c r="M32" s="17">
        <v>83905366</v>
      </c>
      <c r="N32" s="13">
        <v>84977704</v>
      </c>
      <c r="O32" s="17">
        <v>117422471</v>
      </c>
      <c r="P32" s="17">
        <v>111802839</v>
      </c>
      <c r="Q32" s="17">
        <v>125126224</v>
      </c>
      <c r="R32" s="13">
        <v>107706551</v>
      </c>
      <c r="S32" s="17">
        <v>102354764</v>
      </c>
      <c r="T32" s="17">
        <v>125384366</v>
      </c>
      <c r="U32" s="17">
        <v>123419848</v>
      </c>
      <c r="V32" s="13">
        <v>111403877</v>
      </c>
    </row>
    <row r="33" spans="2:22" ht="18" customHeight="1" x14ac:dyDescent="0.3">
      <c r="B33" s="9" t="s">
        <v>86</v>
      </c>
      <c r="C33" s="17">
        <v>0</v>
      </c>
      <c r="D33" s="17">
        <v>24998784</v>
      </c>
      <c r="E33" s="17">
        <v>159233119</v>
      </c>
      <c r="F33" s="13">
        <v>177376553</v>
      </c>
      <c r="G33" s="17">
        <v>201343118</v>
      </c>
      <c r="H33" s="17">
        <v>219625017</v>
      </c>
      <c r="I33" s="17">
        <v>238825714</v>
      </c>
      <c r="J33" s="13">
        <v>265622137</v>
      </c>
      <c r="K33" s="17">
        <v>305181530</v>
      </c>
      <c r="L33" s="17">
        <v>337069529</v>
      </c>
      <c r="M33" s="17">
        <v>334899508</v>
      </c>
      <c r="N33" s="13">
        <v>335209954</v>
      </c>
      <c r="O33" s="17">
        <v>337036619</v>
      </c>
      <c r="P33" s="17">
        <v>332679398</v>
      </c>
      <c r="Q33" s="17">
        <v>393985235</v>
      </c>
      <c r="R33" s="13">
        <v>355887441</v>
      </c>
      <c r="S33" s="17">
        <v>339877698</v>
      </c>
      <c r="T33" s="17">
        <v>310217456</v>
      </c>
      <c r="U33" s="17">
        <v>275956921</v>
      </c>
      <c r="V33" s="13">
        <v>236859693</v>
      </c>
    </row>
    <row r="34" spans="2:22" ht="18" customHeight="1" x14ac:dyDescent="0.3">
      <c r="B34" s="9" t="s">
        <v>87</v>
      </c>
      <c r="C34" s="17">
        <v>7767604</v>
      </c>
      <c r="D34" s="17">
        <v>8234210</v>
      </c>
      <c r="E34" s="17">
        <v>8994985</v>
      </c>
      <c r="F34" s="13">
        <v>8371135</v>
      </c>
      <c r="G34" s="17">
        <v>9960870</v>
      </c>
      <c r="H34" s="17">
        <v>11007507</v>
      </c>
      <c r="I34" s="17">
        <v>13083805</v>
      </c>
      <c r="J34" s="13">
        <v>21349926</v>
      </c>
      <c r="K34" s="17">
        <v>10060744</v>
      </c>
      <c r="L34" s="17">
        <v>12234456</v>
      </c>
      <c r="M34" s="17">
        <v>13878505</v>
      </c>
      <c r="N34" s="13">
        <v>14420148</v>
      </c>
      <c r="O34" s="17">
        <v>16968353</v>
      </c>
      <c r="P34" s="17">
        <v>18850107</v>
      </c>
      <c r="Q34" s="17">
        <v>20676349</v>
      </c>
      <c r="R34" s="13">
        <v>0</v>
      </c>
      <c r="S34" s="17">
        <v>9572532</v>
      </c>
      <c r="T34" s="17">
        <v>13344256</v>
      </c>
      <c r="U34" s="17">
        <v>0</v>
      </c>
      <c r="V34" s="13">
        <v>0</v>
      </c>
    </row>
    <row r="35" spans="2:22" ht="18" customHeight="1" x14ac:dyDescent="0.3">
      <c r="B35" s="9" t="s">
        <v>88</v>
      </c>
      <c r="C35" s="17">
        <v>13603785</v>
      </c>
      <c r="D35" s="17">
        <v>13123053</v>
      </c>
      <c r="E35" s="17">
        <v>11851492</v>
      </c>
      <c r="F35" s="13">
        <v>13357906</v>
      </c>
      <c r="G35" s="17">
        <v>12842982</v>
      </c>
      <c r="H35" s="17">
        <v>10990029</v>
      </c>
      <c r="I35" s="17">
        <v>9398603</v>
      </c>
      <c r="J35" s="13">
        <v>110881391</v>
      </c>
      <c r="K35" s="17">
        <v>111445900</v>
      </c>
      <c r="L35" s="17">
        <v>111657081</v>
      </c>
      <c r="M35" s="17">
        <v>110843028</v>
      </c>
      <c r="N35" s="13">
        <v>123533546</v>
      </c>
      <c r="O35" s="17">
        <v>118020873</v>
      </c>
      <c r="P35" s="17">
        <v>115920882</v>
      </c>
      <c r="Q35" s="17">
        <v>518836142</v>
      </c>
      <c r="R35" s="13">
        <v>520391057</v>
      </c>
      <c r="S35" s="17">
        <v>520722675</v>
      </c>
      <c r="T35" s="17">
        <v>518035545</v>
      </c>
      <c r="U35" s="17">
        <v>516549610</v>
      </c>
      <c r="V35" s="13">
        <v>526949846</v>
      </c>
    </row>
    <row r="36" spans="2:22" ht="18" customHeight="1" x14ac:dyDescent="0.3">
      <c r="B36" s="1" t="s">
        <v>89</v>
      </c>
      <c r="C36" s="4">
        <f t="shared" ref="C36:R36" si="8">SUM(C$31:C$35)</f>
        <v>52648700</v>
      </c>
      <c r="D36" s="4">
        <f t="shared" si="8"/>
        <v>72736627</v>
      </c>
      <c r="E36" s="4">
        <f t="shared" si="8"/>
        <v>256239590</v>
      </c>
      <c r="F36" s="8">
        <f t="shared" si="8"/>
        <v>280207380</v>
      </c>
      <c r="G36" s="4">
        <f t="shared" si="8"/>
        <v>300410628</v>
      </c>
      <c r="H36" s="4">
        <f t="shared" si="8"/>
        <v>317509520</v>
      </c>
      <c r="I36" s="4">
        <f t="shared" si="8"/>
        <v>326294965</v>
      </c>
      <c r="J36" s="8">
        <f t="shared" si="8"/>
        <v>477618247</v>
      </c>
      <c r="K36" s="4">
        <f t="shared" si="8"/>
        <v>513413999</v>
      </c>
      <c r="L36" s="4">
        <f t="shared" si="8"/>
        <v>548458387</v>
      </c>
      <c r="M36" s="4">
        <f t="shared" si="8"/>
        <v>543888680</v>
      </c>
      <c r="N36" s="8">
        <f t="shared" si="8"/>
        <v>558305966</v>
      </c>
      <c r="O36" s="4">
        <f t="shared" si="8"/>
        <v>589448316</v>
      </c>
      <c r="P36" s="4">
        <f t="shared" si="8"/>
        <v>579253226</v>
      </c>
      <c r="Q36" s="4">
        <f t="shared" si="8"/>
        <v>1058623950</v>
      </c>
      <c r="R36" s="8">
        <f t="shared" si="8"/>
        <v>983985049</v>
      </c>
      <c r="S36" s="4">
        <v>972527669</v>
      </c>
      <c r="T36" s="4">
        <v>966981623</v>
      </c>
      <c r="U36" s="4">
        <v>915926379</v>
      </c>
      <c r="V36" s="8">
        <f>SUM(V$31:V$35)</f>
        <v>875213416</v>
      </c>
    </row>
    <row r="37" spans="2:22" ht="21.75" customHeight="1" x14ac:dyDescent="0.3">
      <c r="B37" s="292" t="s">
        <v>90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</row>
    <row r="38" spans="2:22" ht="18" customHeight="1" x14ac:dyDescent="0.3">
      <c r="B38" s="9" t="s">
        <v>91</v>
      </c>
      <c r="C38" s="17">
        <v>743937136</v>
      </c>
      <c r="D38" s="17">
        <v>865932136</v>
      </c>
      <c r="E38" s="17">
        <v>881749265</v>
      </c>
      <c r="F38" s="13">
        <v>823948627</v>
      </c>
      <c r="G38" s="17">
        <v>905813120</v>
      </c>
      <c r="H38" s="17">
        <v>1058684276</v>
      </c>
      <c r="I38" s="17">
        <v>1107336838</v>
      </c>
      <c r="J38" s="13">
        <v>1247271122</v>
      </c>
      <c r="K38" s="17">
        <v>1395300200</v>
      </c>
      <c r="L38" s="17">
        <v>1531329751</v>
      </c>
      <c r="M38" s="17">
        <v>1477390146</v>
      </c>
      <c r="N38" s="13">
        <v>1387483248</v>
      </c>
      <c r="O38" s="17">
        <v>1198532328</v>
      </c>
      <c r="P38" s="17">
        <v>1244420277</v>
      </c>
      <c r="Q38" s="17">
        <v>1390411860</v>
      </c>
      <c r="R38" s="13">
        <v>918482312</v>
      </c>
      <c r="S38" s="17">
        <v>1402073044</v>
      </c>
      <c r="T38" s="17">
        <v>1884198508</v>
      </c>
      <c r="U38" s="17">
        <v>1585260675</v>
      </c>
      <c r="V38" s="13">
        <v>1587533130</v>
      </c>
    </row>
    <row r="39" spans="2:22" ht="18" customHeight="1" x14ac:dyDescent="0.3">
      <c r="B39" s="9" t="s">
        <v>92</v>
      </c>
      <c r="C39" s="17">
        <v>0</v>
      </c>
      <c r="D39" s="17">
        <v>0</v>
      </c>
      <c r="E39" s="17">
        <v>0</v>
      </c>
      <c r="F39" s="13">
        <v>39950980</v>
      </c>
      <c r="G39" s="17">
        <v>0</v>
      </c>
      <c r="H39" s="17">
        <v>0</v>
      </c>
      <c r="I39" s="17">
        <v>0</v>
      </c>
      <c r="J39" s="13">
        <v>41393653</v>
      </c>
      <c r="K39" s="17">
        <v>103000127</v>
      </c>
      <c r="L39" s="17">
        <v>137785028</v>
      </c>
      <c r="M39" s="17">
        <v>137938983</v>
      </c>
      <c r="N39" s="13">
        <v>151554607</v>
      </c>
      <c r="O39" s="17">
        <v>271517615</v>
      </c>
      <c r="P39" s="17">
        <v>165335386</v>
      </c>
      <c r="Q39" s="17">
        <v>228034445</v>
      </c>
      <c r="R39" s="13">
        <v>280295448</v>
      </c>
      <c r="S39" s="17">
        <v>323007229</v>
      </c>
      <c r="T39" s="17">
        <v>92412369</v>
      </c>
      <c r="U39" s="17">
        <v>132076770</v>
      </c>
      <c r="V39" s="13">
        <v>147720552</v>
      </c>
    </row>
    <row r="40" spans="2:22" ht="18" customHeight="1" x14ac:dyDescent="0.3">
      <c r="B40" s="9" t="s">
        <v>93</v>
      </c>
      <c r="C40" s="17">
        <v>85518032</v>
      </c>
      <c r="D40" s="17">
        <v>18816000</v>
      </c>
      <c r="E40" s="17">
        <v>23565000</v>
      </c>
      <c r="F40" s="13">
        <v>14148000</v>
      </c>
      <c r="G40" s="17">
        <v>22425775</v>
      </c>
      <c r="H40" s="17">
        <v>23050402</v>
      </c>
      <c r="I40" s="17">
        <v>23915236</v>
      </c>
      <c r="J40" s="13">
        <v>30338673</v>
      </c>
      <c r="K40" s="17">
        <v>37971784</v>
      </c>
      <c r="L40" s="17">
        <v>28638548</v>
      </c>
      <c r="M40" s="17">
        <v>19384464</v>
      </c>
      <c r="N40" s="13">
        <v>10158729</v>
      </c>
      <c r="O40" s="17">
        <v>1287576</v>
      </c>
      <c r="P40" s="17">
        <v>990570</v>
      </c>
      <c r="Q40" s="17">
        <v>706176</v>
      </c>
      <c r="R40" s="13">
        <v>344005</v>
      </c>
      <c r="S40" s="17">
        <v>0</v>
      </c>
      <c r="T40" s="17">
        <v>0</v>
      </c>
      <c r="U40" s="17">
        <v>0</v>
      </c>
      <c r="V40" s="13">
        <v>0</v>
      </c>
    </row>
    <row r="41" spans="2:22" ht="18" customHeight="1" x14ac:dyDescent="0.3">
      <c r="B41" s="9" t="s">
        <v>127</v>
      </c>
      <c r="C41" s="17">
        <v>0</v>
      </c>
      <c r="D41" s="17">
        <v>0</v>
      </c>
      <c r="E41" s="17">
        <v>0</v>
      </c>
      <c r="F41" s="13">
        <v>0</v>
      </c>
      <c r="G41" s="17">
        <v>10920458</v>
      </c>
      <c r="H41" s="17">
        <v>12797974</v>
      </c>
      <c r="I41" s="17">
        <v>11675405</v>
      </c>
      <c r="J41" s="13">
        <v>16424592</v>
      </c>
      <c r="K41" s="17">
        <v>20637876</v>
      </c>
      <c r="L41" s="17">
        <v>20921839</v>
      </c>
      <c r="M41" s="17">
        <v>22005090</v>
      </c>
      <c r="N41" s="13">
        <v>23801960</v>
      </c>
      <c r="O41" s="17">
        <v>36114885</v>
      </c>
      <c r="P41" s="17">
        <v>35858213</v>
      </c>
      <c r="Q41" s="17">
        <v>38810138</v>
      </c>
      <c r="R41" s="13">
        <v>35443162</v>
      </c>
      <c r="S41" s="17">
        <v>34086377</v>
      </c>
      <c r="T41" s="17">
        <v>38155448</v>
      </c>
      <c r="U41" s="17">
        <v>39979581</v>
      </c>
      <c r="V41" s="13">
        <v>40232181</v>
      </c>
    </row>
    <row r="42" spans="2:22" ht="18" customHeight="1" x14ac:dyDescent="0.3">
      <c r="B42" s="9" t="s">
        <v>94</v>
      </c>
      <c r="C42" s="17">
        <v>919086789</v>
      </c>
      <c r="D42" s="17">
        <v>924819473</v>
      </c>
      <c r="E42" s="17">
        <v>756875814</v>
      </c>
      <c r="F42" s="13">
        <v>673725980</v>
      </c>
      <c r="G42" s="17">
        <v>825465293</v>
      </c>
      <c r="H42" s="17">
        <v>762493347</v>
      </c>
      <c r="I42" s="17">
        <v>911085196</v>
      </c>
      <c r="J42" s="13">
        <v>933175828</v>
      </c>
      <c r="K42" s="17">
        <v>966244818</v>
      </c>
      <c r="L42" s="17">
        <v>976095526</v>
      </c>
      <c r="M42" s="17">
        <v>997252859</v>
      </c>
      <c r="N42" s="13">
        <v>954269904</v>
      </c>
      <c r="O42" s="17">
        <v>1269087921</v>
      </c>
      <c r="P42" s="17">
        <v>1362026631</v>
      </c>
      <c r="Q42" s="17">
        <v>1495177081</v>
      </c>
      <c r="R42" s="13">
        <v>1511358852</v>
      </c>
      <c r="S42" s="17">
        <v>1237093673</v>
      </c>
      <c r="T42" s="17">
        <v>1311841012</v>
      </c>
      <c r="U42" s="17">
        <v>1566047785</v>
      </c>
      <c r="V42" s="13">
        <v>1520387559</v>
      </c>
    </row>
    <row r="43" spans="2:22" ht="18" customHeight="1" x14ac:dyDescent="0.3">
      <c r="B43" s="9" t="s">
        <v>95</v>
      </c>
      <c r="C43" s="17">
        <v>1880421</v>
      </c>
      <c r="D43" s="17">
        <v>379996</v>
      </c>
      <c r="E43" s="17">
        <v>32030200</v>
      </c>
      <c r="F43" s="13">
        <v>28057917</v>
      </c>
      <c r="G43" s="17">
        <v>28754639</v>
      </c>
      <c r="H43" s="17">
        <v>31437833</v>
      </c>
      <c r="I43" s="17">
        <v>38490332</v>
      </c>
      <c r="J43" s="13">
        <v>48921233</v>
      </c>
      <c r="K43" s="17">
        <v>55638203</v>
      </c>
      <c r="L43" s="17">
        <v>59241089</v>
      </c>
      <c r="M43" s="17">
        <v>64436402</v>
      </c>
      <c r="N43" s="13">
        <v>108068490</v>
      </c>
      <c r="O43" s="17">
        <v>119492993</v>
      </c>
      <c r="P43" s="17">
        <v>119316622</v>
      </c>
      <c r="Q43" s="17">
        <v>120236220</v>
      </c>
      <c r="R43" s="13">
        <v>160858369</v>
      </c>
      <c r="S43" s="17">
        <v>169100234</v>
      </c>
      <c r="T43" s="17">
        <v>184807042</v>
      </c>
      <c r="U43" s="17">
        <v>213390863</v>
      </c>
      <c r="V43" s="13">
        <v>260140979</v>
      </c>
    </row>
    <row r="44" spans="2:22" ht="18" customHeight="1" x14ac:dyDescent="0.3">
      <c r="B44" s="1" t="s">
        <v>96</v>
      </c>
      <c r="C44" s="4">
        <f>SUM(C$38:C$43)</f>
        <v>1750422378</v>
      </c>
      <c r="D44" s="4">
        <v>1881142128</v>
      </c>
      <c r="E44" s="4">
        <v>1706083963</v>
      </c>
      <c r="F44" s="8">
        <v>1601656837</v>
      </c>
      <c r="G44" s="4">
        <f>SUM(G$38:G$43)</f>
        <v>1793379285</v>
      </c>
      <c r="H44" s="4">
        <f t="shared" ref="H44:V44" si="9">SUM(H$38:H$43)</f>
        <v>1888463832</v>
      </c>
      <c r="I44" s="4">
        <f t="shared" si="9"/>
        <v>2092503007</v>
      </c>
      <c r="J44" s="8">
        <f t="shared" si="9"/>
        <v>2317525101</v>
      </c>
      <c r="K44" s="4">
        <f t="shared" si="9"/>
        <v>2578793008</v>
      </c>
      <c r="L44" s="4">
        <f t="shared" si="9"/>
        <v>2754011781</v>
      </c>
      <c r="M44" s="4">
        <f t="shared" si="9"/>
        <v>2718407944</v>
      </c>
      <c r="N44" s="8">
        <f t="shared" si="9"/>
        <v>2635336938</v>
      </c>
      <c r="O44" s="4">
        <f t="shared" si="9"/>
        <v>2896033318</v>
      </c>
      <c r="P44" s="4">
        <f t="shared" si="9"/>
        <v>2927947699</v>
      </c>
      <c r="Q44" s="4">
        <f t="shared" si="9"/>
        <v>3273375920</v>
      </c>
      <c r="R44" s="8">
        <f t="shared" si="9"/>
        <v>2906782148</v>
      </c>
      <c r="S44" s="4">
        <f t="shared" si="9"/>
        <v>3165360557</v>
      </c>
      <c r="T44" s="4">
        <f t="shared" si="9"/>
        <v>3511414379</v>
      </c>
      <c r="U44" s="4">
        <f t="shared" si="9"/>
        <v>3536755674</v>
      </c>
      <c r="V44" s="8">
        <f t="shared" si="9"/>
        <v>3556014401</v>
      </c>
    </row>
    <row r="45" spans="2:22" ht="18" customHeight="1" x14ac:dyDescent="0.3">
      <c r="B45" s="12" t="s">
        <v>97</v>
      </c>
      <c r="C45" s="13">
        <f>C$44+C$36</f>
        <v>1803071078</v>
      </c>
      <c r="D45" s="13">
        <v>1953878755</v>
      </c>
      <c r="E45" s="13">
        <v>1962323553</v>
      </c>
      <c r="F45" s="8">
        <v>1881864217</v>
      </c>
      <c r="G45" s="13">
        <f t="shared" ref="G45:V45" si="10">SUM(G$44,G$36)</f>
        <v>2093789913</v>
      </c>
      <c r="H45" s="13">
        <f t="shared" si="10"/>
        <v>2205973352</v>
      </c>
      <c r="I45" s="13">
        <f t="shared" si="10"/>
        <v>2418797972</v>
      </c>
      <c r="J45" s="8">
        <f t="shared" si="10"/>
        <v>2795143348</v>
      </c>
      <c r="K45" s="13">
        <f t="shared" si="10"/>
        <v>3092207007</v>
      </c>
      <c r="L45" s="13">
        <f t="shared" si="10"/>
        <v>3302470168</v>
      </c>
      <c r="M45" s="13">
        <f t="shared" si="10"/>
        <v>3262296624</v>
      </c>
      <c r="N45" s="8">
        <f t="shared" si="10"/>
        <v>3193642904</v>
      </c>
      <c r="O45" s="13">
        <f t="shared" si="10"/>
        <v>3485481634</v>
      </c>
      <c r="P45" s="13">
        <f t="shared" si="10"/>
        <v>3507200925</v>
      </c>
      <c r="Q45" s="13">
        <f t="shared" si="10"/>
        <v>4331999870</v>
      </c>
      <c r="R45" s="8">
        <f t="shared" si="10"/>
        <v>3890767197</v>
      </c>
      <c r="S45" s="13">
        <f t="shared" si="10"/>
        <v>4137888226</v>
      </c>
      <c r="T45" s="13">
        <f t="shared" si="10"/>
        <v>4478396002</v>
      </c>
      <c r="U45" s="13">
        <f t="shared" si="10"/>
        <v>4452682053</v>
      </c>
      <c r="V45" s="8">
        <f t="shared" si="10"/>
        <v>4431227817</v>
      </c>
    </row>
    <row r="46" spans="2:22" ht="18" customHeight="1" x14ac:dyDescent="0.3">
      <c r="B46" s="12" t="s">
        <v>98</v>
      </c>
      <c r="C46" s="13">
        <f t="shared" ref="C46:J46" si="11">SUM(C$45,C$29)</f>
        <v>3356312368</v>
      </c>
      <c r="D46" s="13">
        <f t="shared" si="11"/>
        <v>3504399211</v>
      </c>
      <c r="E46" s="13">
        <f t="shared" si="11"/>
        <v>3504000093</v>
      </c>
      <c r="F46" s="8">
        <f t="shared" si="11"/>
        <v>3424944109</v>
      </c>
      <c r="G46" s="13">
        <f t="shared" si="11"/>
        <v>3693496705</v>
      </c>
      <c r="H46" s="13">
        <f t="shared" si="11"/>
        <v>4061178904</v>
      </c>
      <c r="I46" s="13">
        <f t="shared" si="11"/>
        <v>4261184456</v>
      </c>
      <c r="J46" s="8">
        <f t="shared" si="11"/>
        <v>4695497572</v>
      </c>
      <c r="K46" s="13">
        <f t="shared" ref="K46:M46" si="12">SUM(K$45,K$29)</f>
        <v>5015325507</v>
      </c>
      <c r="L46" s="13">
        <f t="shared" si="12"/>
        <v>5370537000</v>
      </c>
      <c r="M46" s="13">
        <f t="shared" si="12"/>
        <v>5403698794</v>
      </c>
      <c r="N46" s="8">
        <f>SUM(N$45,N$29)</f>
        <v>5455416526</v>
      </c>
      <c r="O46" s="13">
        <f t="shared" ref="O46:U46" si="13">SUM(O$45,O$29)</f>
        <v>6325731665</v>
      </c>
      <c r="P46" s="13">
        <f t="shared" si="13"/>
        <v>6510584001</v>
      </c>
      <c r="Q46" s="13">
        <f t="shared" si="13"/>
        <v>8135205534</v>
      </c>
      <c r="R46" s="8">
        <f>SUM(R$45,R$29)</f>
        <v>7747378142</v>
      </c>
      <c r="S46" s="13">
        <f t="shared" si="13"/>
        <v>8089607879</v>
      </c>
      <c r="T46" s="13">
        <f t="shared" si="13"/>
        <v>8485953696</v>
      </c>
      <c r="U46" s="13">
        <f t="shared" si="13"/>
        <v>8548139030</v>
      </c>
      <c r="V46" s="8">
        <f>SUM(V$45,V$29)</f>
        <v>8537034046</v>
      </c>
    </row>
    <row r="47" spans="2:22" x14ac:dyDescent="0.3">
      <c r="C47" s="49">
        <f t="shared" ref="C47:V47" si="14">SUM(C$19-C$46)</f>
        <v>0</v>
      </c>
      <c r="D47" s="49">
        <f t="shared" si="14"/>
        <v>0</v>
      </c>
      <c r="E47" s="49">
        <f t="shared" si="14"/>
        <v>0</v>
      </c>
      <c r="F47" s="49">
        <f t="shared" si="14"/>
        <v>0</v>
      </c>
      <c r="G47" s="49">
        <f t="shared" si="14"/>
        <v>0</v>
      </c>
      <c r="H47" s="49">
        <f t="shared" si="14"/>
        <v>0</v>
      </c>
      <c r="I47" s="49">
        <f t="shared" si="14"/>
        <v>0</v>
      </c>
      <c r="J47" s="49">
        <f t="shared" si="14"/>
        <v>0</v>
      </c>
      <c r="K47" s="49">
        <f t="shared" si="14"/>
        <v>0</v>
      </c>
      <c r="L47" s="49">
        <f t="shared" si="14"/>
        <v>0</v>
      </c>
      <c r="M47" s="49">
        <f t="shared" si="14"/>
        <v>0</v>
      </c>
      <c r="N47" s="49">
        <f t="shared" si="14"/>
        <v>0</v>
      </c>
      <c r="O47" s="49">
        <f t="shared" si="14"/>
        <v>0</v>
      </c>
      <c r="P47" s="49">
        <f t="shared" si="14"/>
        <v>0</v>
      </c>
      <c r="Q47" s="49">
        <f t="shared" si="14"/>
        <v>0</v>
      </c>
      <c r="R47" s="49">
        <f t="shared" si="14"/>
        <v>0</v>
      </c>
      <c r="S47" s="49">
        <f t="shared" si="14"/>
        <v>0</v>
      </c>
      <c r="T47" s="49">
        <f t="shared" si="14"/>
        <v>0</v>
      </c>
      <c r="U47" s="49">
        <f t="shared" si="14"/>
        <v>0</v>
      </c>
      <c r="V47" s="49">
        <f t="shared" si="14"/>
        <v>0</v>
      </c>
    </row>
  </sheetData>
  <mergeCells count="13">
    <mergeCell ref="B30:V30"/>
    <mergeCell ref="B37:V37"/>
    <mergeCell ref="B5:V5"/>
    <mergeCell ref="B6:V6"/>
    <mergeCell ref="B13:V13"/>
    <mergeCell ref="B20:V20"/>
    <mergeCell ref="B21:V21"/>
    <mergeCell ref="B1:V1"/>
    <mergeCell ref="C2:F2"/>
    <mergeCell ref="G2:J2"/>
    <mergeCell ref="K2:N2"/>
    <mergeCell ref="O2:R2"/>
    <mergeCell ref="S2:V2"/>
  </mergeCells>
  <pageMargins left="0.75" right="0.75" top="1" bottom="1" header="0.511811023622047" footer="0.511811023622047"/>
  <pageSetup paperSize="9" orientation="portrait" horizontalDpi="300" verticalDpi="300"/>
  <ignoredErrors>
    <ignoredError sqref="G29" formula="1"/>
    <ignoredError sqref="K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585B-2725-4333-9057-B880DA324006}">
  <dimension ref="A1:AB62"/>
  <sheetViews>
    <sheetView zoomScale="37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B1" sqref="AB1:AB1048576"/>
    </sheetView>
  </sheetViews>
  <sheetFormatPr defaultRowHeight="14.4" x14ac:dyDescent="0.3"/>
  <cols>
    <col min="1" max="1" width="48.33203125" style="42" bestFit="1" customWidth="1"/>
    <col min="2" max="2" width="15.44140625" style="42" customWidth="1"/>
    <col min="3" max="26" width="14.44140625" style="42" customWidth="1"/>
    <col min="27" max="27" width="8.88671875" style="42"/>
    <col min="28" max="28" width="0" style="42" hidden="1" customWidth="1"/>
    <col min="29" max="16384" width="8.88671875" style="42"/>
  </cols>
  <sheetData>
    <row r="1" spans="1:28" ht="28.05" customHeight="1" x14ac:dyDescent="0.3">
      <c r="A1" s="309" t="s">
        <v>130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</row>
    <row r="2" spans="1:28" ht="21.6" customHeight="1" x14ac:dyDescent="0.3">
      <c r="A2" s="52" t="s">
        <v>0</v>
      </c>
      <c r="B2" s="310">
        <v>2021</v>
      </c>
      <c r="C2" s="310"/>
      <c r="D2" s="310"/>
      <c r="E2" s="310"/>
      <c r="F2" s="310"/>
      <c r="G2" s="310">
        <v>2022</v>
      </c>
      <c r="H2" s="310"/>
      <c r="I2" s="310"/>
      <c r="J2" s="310"/>
      <c r="K2" s="310"/>
      <c r="L2" s="311">
        <v>2023</v>
      </c>
      <c r="M2" s="311"/>
      <c r="N2" s="311"/>
      <c r="O2" s="311"/>
      <c r="P2" s="311"/>
      <c r="Q2" s="310">
        <v>2024</v>
      </c>
      <c r="R2" s="310"/>
      <c r="S2" s="310"/>
      <c r="T2" s="310"/>
      <c r="U2" s="310"/>
      <c r="V2" s="310">
        <v>2025</v>
      </c>
      <c r="W2" s="310"/>
      <c r="X2" s="310"/>
      <c r="Y2" s="310"/>
      <c r="Z2" s="310"/>
      <c r="AB2" s="42">
        <v>2020</v>
      </c>
    </row>
    <row r="3" spans="1:28" ht="19.95" customHeight="1" x14ac:dyDescent="0.3">
      <c r="A3" s="53"/>
      <c r="B3" s="53" t="s">
        <v>131</v>
      </c>
      <c r="C3" s="53" t="s">
        <v>132</v>
      </c>
      <c r="D3" s="53" t="s">
        <v>133</v>
      </c>
      <c r="E3" s="53" t="s">
        <v>134</v>
      </c>
      <c r="F3" s="54" t="s">
        <v>135</v>
      </c>
      <c r="G3" s="53" t="s">
        <v>131</v>
      </c>
      <c r="H3" s="53" t="s">
        <v>132</v>
      </c>
      <c r="I3" s="53" t="s">
        <v>133</v>
      </c>
      <c r="J3" s="53" t="s">
        <v>134</v>
      </c>
      <c r="K3" s="54" t="s">
        <v>135</v>
      </c>
      <c r="L3" s="53" t="s">
        <v>131</v>
      </c>
      <c r="M3" s="53" t="s">
        <v>132</v>
      </c>
      <c r="N3" s="53" t="s">
        <v>133</v>
      </c>
      <c r="O3" s="53" t="s">
        <v>134</v>
      </c>
      <c r="P3" s="54" t="s">
        <v>135</v>
      </c>
      <c r="Q3" s="53" t="s">
        <v>131</v>
      </c>
      <c r="R3" s="53" t="s">
        <v>132</v>
      </c>
      <c r="S3" s="53" t="s">
        <v>133</v>
      </c>
      <c r="T3" s="53" t="s">
        <v>134</v>
      </c>
      <c r="U3" s="54" t="s">
        <v>135</v>
      </c>
      <c r="V3" s="53" t="s">
        <v>131</v>
      </c>
      <c r="W3" s="53" t="s">
        <v>132</v>
      </c>
      <c r="X3" s="53" t="s">
        <v>133</v>
      </c>
      <c r="Y3" s="53" t="s">
        <v>134</v>
      </c>
      <c r="Z3" s="54" t="s">
        <v>135</v>
      </c>
      <c r="AB3" s="42" t="s">
        <v>215</v>
      </c>
    </row>
    <row r="4" spans="1:28" x14ac:dyDescent="0.3">
      <c r="A4" s="56" t="s">
        <v>136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8" x14ac:dyDescent="0.3">
      <c r="A5" s="60" t="s">
        <v>137</v>
      </c>
      <c r="B5" s="55">
        <v>-1655292</v>
      </c>
      <c r="C5" s="55">
        <v>4988321</v>
      </c>
      <c r="D5" s="55">
        <v>5410827</v>
      </c>
      <c r="E5" s="55">
        <v>24163194</v>
      </c>
      <c r="F5" s="117">
        <v>32907050</v>
      </c>
      <c r="G5" s="55">
        <v>52542315</v>
      </c>
      <c r="H5" s="55">
        <v>-39745525</v>
      </c>
      <c r="I5" s="55">
        <v>8140286</v>
      </c>
      <c r="J5" s="55">
        <v>55474411</v>
      </c>
      <c r="K5" s="117">
        <v>76411487</v>
      </c>
      <c r="L5" s="55">
        <v>177093686</v>
      </c>
      <c r="M5" s="55">
        <v>234695975</v>
      </c>
      <c r="N5" s="55">
        <v>120660434</v>
      </c>
      <c r="O5" s="55">
        <v>154510977</v>
      </c>
      <c r="P5" s="117">
        <v>686961072</v>
      </c>
      <c r="Q5" s="55">
        <v>607075889</v>
      </c>
      <c r="R5" s="55">
        <v>222762025</v>
      </c>
      <c r="S5" s="55">
        <v>304917264</v>
      </c>
      <c r="T5" s="55">
        <v>97130992</v>
      </c>
      <c r="U5" s="117">
        <v>1231886170</v>
      </c>
      <c r="V5" s="55">
        <v>147697757</v>
      </c>
      <c r="W5" s="55">
        <v>107910305</v>
      </c>
      <c r="X5" s="55">
        <v>157284995</v>
      </c>
      <c r="Y5" s="55">
        <v>48776410</v>
      </c>
      <c r="Z5" s="117">
        <v>461669467</v>
      </c>
      <c r="AB5" s="42">
        <v>-220605147</v>
      </c>
    </row>
    <row r="6" spans="1:28" x14ac:dyDescent="0.3">
      <c r="A6" s="61" t="s">
        <v>138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8" x14ac:dyDescent="0.3">
      <c r="A7" s="60" t="s">
        <v>139</v>
      </c>
      <c r="B7" s="55">
        <v>30379884</v>
      </c>
      <c r="C7" s="55">
        <v>28832771</v>
      </c>
      <c r="D7" s="55">
        <v>29846313</v>
      </c>
      <c r="E7" s="55">
        <v>26148931</v>
      </c>
      <c r="F7" s="117">
        <f>SUM(B7:E7)</f>
        <v>115207899</v>
      </c>
      <c r="G7" s="55">
        <v>34750995</v>
      </c>
      <c r="H7" s="55">
        <v>19901347</v>
      </c>
      <c r="I7" s="55">
        <v>27142044</v>
      </c>
      <c r="J7" s="55">
        <v>27679306</v>
      </c>
      <c r="K7" s="117">
        <v>109473692</v>
      </c>
      <c r="L7" s="55">
        <v>27627447</v>
      </c>
      <c r="M7" s="55">
        <v>28411843</v>
      </c>
      <c r="N7" s="55">
        <v>27842779</v>
      </c>
      <c r="O7" s="55">
        <v>31849190</v>
      </c>
      <c r="P7" s="117">
        <v>115731259</v>
      </c>
      <c r="Q7" s="55">
        <v>39426629</v>
      </c>
      <c r="R7" s="55">
        <v>43161665</v>
      </c>
      <c r="S7" s="55">
        <v>43985474</v>
      </c>
      <c r="T7" s="55">
        <v>48400090</v>
      </c>
      <c r="U7" s="117">
        <v>174973858</v>
      </c>
      <c r="V7" s="55">
        <v>56500004</v>
      </c>
      <c r="W7" s="55">
        <v>55333196</v>
      </c>
      <c r="X7" s="55">
        <v>58865473</v>
      </c>
      <c r="Y7" s="55">
        <v>62701812</v>
      </c>
      <c r="Z7" s="117">
        <v>233400485</v>
      </c>
      <c r="AB7" s="42">
        <v>102610286</v>
      </c>
    </row>
    <row r="8" spans="1:28" x14ac:dyDescent="0.3">
      <c r="A8" s="60" t="s">
        <v>140</v>
      </c>
      <c r="B8" s="55">
        <v>174182</v>
      </c>
      <c r="C8" s="55">
        <v>185156</v>
      </c>
      <c r="D8" s="55">
        <v>382381</v>
      </c>
      <c r="E8" s="55">
        <v>237392</v>
      </c>
      <c r="F8" s="117">
        <f t="shared" ref="F8:F10" si="0">SUM(B8:E8)</f>
        <v>979111</v>
      </c>
      <c r="G8" s="55">
        <v>113009</v>
      </c>
      <c r="H8" s="55">
        <v>45484</v>
      </c>
      <c r="I8" s="55">
        <v>254105</v>
      </c>
      <c r="J8" s="55">
        <v>765942</v>
      </c>
      <c r="K8" s="117">
        <v>1178540</v>
      </c>
      <c r="L8" s="55">
        <v>513550</v>
      </c>
      <c r="M8" s="55">
        <v>554905</v>
      </c>
      <c r="N8" s="55">
        <v>1056542</v>
      </c>
      <c r="O8" s="55">
        <v>329332</v>
      </c>
      <c r="P8" s="117">
        <v>2454329</v>
      </c>
      <c r="Q8" s="55">
        <v>655989</v>
      </c>
      <c r="R8" s="55">
        <v>1005085</v>
      </c>
      <c r="S8" s="55">
        <v>1000695</v>
      </c>
      <c r="T8" s="55">
        <v>1406381</v>
      </c>
      <c r="U8" s="117">
        <v>4068150</v>
      </c>
      <c r="V8" s="55">
        <v>1194618</v>
      </c>
      <c r="W8" s="55">
        <v>1247267</v>
      </c>
      <c r="X8" s="55">
        <v>1225054</v>
      </c>
      <c r="Y8" s="55">
        <v>1144315</v>
      </c>
      <c r="Z8" s="117">
        <v>4811254</v>
      </c>
      <c r="AB8" s="42">
        <v>1033837</v>
      </c>
    </row>
    <row r="9" spans="1:28" x14ac:dyDescent="0.3">
      <c r="A9" s="60" t="s">
        <v>141</v>
      </c>
      <c r="B9" s="55">
        <v>13970725</v>
      </c>
      <c r="C9" s="55">
        <v>20130164</v>
      </c>
      <c r="D9" s="55">
        <v>-31550889</v>
      </c>
      <c r="E9" s="55">
        <v>6150000</v>
      </c>
      <c r="F9" s="117">
        <f t="shared" si="0"/>
        <v>8700000</v>
      </c>
      <c r="G9" s="55"/>
      <c r="H9" s="55"/>
      <c r="I9" s="55"/>
      <c r="J9" s="55"/>
      <c r="K9" s="117"/>
      <c r="L9" s="55"/>
      <c r="M9" s="55"/>
      <c r="N9" s="55"/>
      <c r="O9" s="55"/>
      <c r="P9" s="117"/>
      <c r="Q9" s="55"/>
      <c r="R9" s="55"/>
      <c r="S9" s="55"/>
      <c r="T9" s="55"/>
      <c r="U9" s="117"/>
      <c r="V9" s="55"/>
      <c r="W9" s="55"/>
      <c r="X9" s="55"/>
      <c r="Y9" s="55"/>
      <c r="Z9" s="117"/>
      <c r="AB9" s="42">
        <v>67411894</v>
      </c>
    </row>
    <row r="10" spans="1:28" x14ac:dyDescent="0.3">
      <c r="A10" s="60" t="s">
        <v>142</v>
      </c>
      <c r="B10" s="55"/>
      <c r="C10" s="55"/>
      <c r="D10" s="55">
        <v>-4500000</v>
      </c>
      <c r="E10" s="55">
        <v>-1370197</v>
      </c>
      <c r="F10" s="117">
        <f t="shared" si="0"/>
        <v>-5870197</v>
      </c>
      <c r="G10" s="55"/>
      <c r="H10" s="55"/>
      <c r="I10" s="55"/>
      <c r="J10" s="55"/>
      <c r="K10" s="117"/>
      <c r="L10" s="55"/>
      <c r="M10" s="55"/>
      <c r="N10" s="55"/>
      <c r="O10" s="55"/>
      <c r="P10" s="117"/>
      <c r="Q10" s="55"/>
      <c r="R10" s="55"/>
      <c r="S10" s="55"/>
      <c r="T10" s="55"/>
      <c r="U10" s="117"/>
      <c r="V10" s="55"/>
      <c r="W10" s="55"/>
      <c r="X10" s="55"/>
      <c r="Y10" s="55"/>
      <c r="Z10" s="117"/>
    </row>
    <row r="11" spans="1:28" x14ac:dyDescent="0.3">
      <c r="A11" s="60" t="s">
        <v>143</v>
      </c>
      <c r="B11" s="55">
        <v>17742380</v>
      </c>
      <c r="C11" s="55">
        <v>17723247</v>
      </c>
      <c r="D11" s="55">
        <v>17732814</v>
      </c>
      <c r="E11" s="55">
        <v>-53198441</v>
      </c>
      <c r="F11" s="117"/>
      <c r="G11" s="55"/>
      <c r="H11" s="55"/>
      <c r="I11" s="55"/>
      <c r="J11" s="55"/>
      <c r="K11" s="117"/>
      <c r="L11" s="55"/>
      <c r="M11" s="55"/>
      <c r="N11" s="55"/>
      <c r="O11" s="55"/>
      <c r="P11" s="117"/>
      <c r="Q11" s="55"/>
      <c r="R11" s="55"/>
      <c r="S11" s="55"/>
      <c r="T11" s="55"/>
      <c r="U11" s="117"/>
      <c r="V11" s="55"/>
      <c r="W11" s="55"/>
      <c r="X11" s="55"/>
      <c r="Y11" s="55"/>
      <c r="Z11" s="117"/>
      <c r="AB11" s="42">
        <v>60673852</v>
      </c>
    </row>
    <row r="12" spans="1:28" x14ac:dyDescent="0.3">
      <c r="A12" s="60" t="s">
        <v>144</v>
      </c>
      <c r="B12" s="55"/>
      <c r="C12" s="55"/>
      <c r="D12" s="55"/>
      <c r="E12" s="55">
        <v>1669361</v>
      </c>
      <c r="F12" s="117">
        <f>SUM(B12:E12)</f>
        <v>1669361</v>
      </c>
      <c r="G12" s="55"/>
      <c r="H12" s="55"/>
      <c r="I12" s="55"/>
      <c r="J12" s="55">
        <v>3167892</v>
      </c>
      <c r="K12" s="117">
        <v>3167892</v>
      </c>
      <c r="L12" s="55">
        <v>846785</v>
      </c>
      <c r="M12" s="55">
        <v>1165257</v>
      </c>
      <c r="N12" s="55">
        <v>1876182</v>
      </c>
      <c r="O12" s="55">
        <v>1163773</v>
      </c>
      <c r="P12" s="117">
        <v>5051997</v>
      </c>
      <c r="Q12" s="55">
        <v>1334200</v>
      </c>
      <c r="R12" s="55">
        <v>7512611</v>
      </c>
      <c r="S12" s="55">
        <v>662752</v>
      </c>
      <c r="T12" s="55">
        <v>-1737604</v>
      </c>
      <c r="U12" s="117">
        <v>7771959</v>
      </c>
      <c r="V12" s="55">
        <v>1549797</v>
      </c>
      <c r="W12" s="55">
        <v>12684881</v>
      </c>
      <c r="X12" s="55">
        <v>-8076758</v>
      </c>
      <c r="Y12" s="55">
        <v>2397287</v>
      </c>
      <c r="Z12" s="117">
        <v>8555207</v>
      </c>
    </row>
    <row r="13" spans="1:28" x14ac:dyDescent="0.3">
      <c r="A13" s="60" t="s">
        <v>145</v>
      </c>
      <c r="B13" s="55"/>
      <c r="C13" s="55"/>
      <c r="D13" s="55"/>
      <c r="E13" s="55">
        <v>76773124</v>
      </c>
      <c r="F13" s="117">
        <f t="shared" ref="F13:F16" si="1">SUM(B13:E13)</f>
        <v>76773124</v>
      </c>
      <c r="G13" s="55"/>
      <c r="H13" s="55"/>
      <c r="I13" s="55"/>
      <c r="J13" s="55">
        <v>101946625</v>
      </c>
      <c r="K13" s="117">
        <v>101946625</v>
      </c>
      <c r="L13" s="55"/>
      <c r="M13" s="55">
        <v>105433898</v>
      </c>
      <c r="N13" s="55">
        <v>65066392</v>
      </c>
      <c r="O13" s="55">
        <v>73246767</v>
      </c>
      <c r="P13" s="117">
        <v>243747057</v>
      </c>
      <c r="Q13" s="55">
        <v>68136917</v>
      </c>
      <c r="R13" s="55">
        <v>75701768</v>
      </c>
      <c r="S13" s="55">
        <v>60564107</v>
      </c>
      <c r="T13" s="55">
        <v>69700293</v>
      </c>
      <c r="U13" s="117">
        <v>274103085</v>
      </c>
      <c r="V13" s="55">
        <v>59713766</v>
      </c>
      <c r="W13" s="55">
        <v>74652506</v>
      </c>
      <c r="X13" s="55">
        <v>90797602</v>
      </c>
      <c r="Y13" s="55">
        <v>64796959</v>
      </c>
      <c r="Z13" s="117">
        <v>289960833</v>
      </c>
    </row>
    <row r="14" spans="1:28" x14ac:dyDescent="0.3">
      <c r="A14" s="60" t="s">
        <v>146</v>
      </c>
      <c r="B14" s="55"/>
      <c r="C14" s="55"/>
      <c r="D14" s="55"/>
      <c r="E14" s="55">
        <v>-3840095</v>
      </c>
      <c r="F14" s="117">
        <f t="shared" si="1"/>
        <v>-3840095</v>
      </c>
      <c r="G14" s="55"/>
      <c r="H14" s="55"/>
      <c r="I14" s="55"/>
      <c r="J14" s="55">
        <v>-4980868</v>
      </c>
      <c r="K14" s="117">
        <v>-4980868</v>
      </c>
      <c r="L14" s="55"/>
      <c r="M14" s="55"/>
      <c r="N14" s="55"/>
      <c r="O14" s="55"/>
      <c r="P14" s="117"/>
      <c r="Q14" s="55"/>
      <c r="R14" s="55"/>
      <c r="S14" s="55">
        <v>-4812191</v>
      </c>
      <c r="T14" s="55">
        <v>-2058752</v>
      </c>
      <c r="U14" s="117">
        <v>-6870943</v>
      </c>
      <c r="V14" s="55">
        <v>-416077</v>
      </c>
      <c r="W14" s="55">
        <v>-1380375</v>
      </c>
      <c r="X14" s="55">
        <v>-1726445</v>
      </c>
      <c r="Y14" s="55">
        <v>2415343</v>
      </c>
      <c r="Z14" s="117">
        <v>-1107554</v>
      </c>
    </row>
    <row r="15" spans="1:28" x14ac:dyDescent="0.3">
      <c r="A15" s="60" t="s">
        <v>147</v>
      </c>
      <c r="B15" s="55"/>
      <c r="C15" s="55"/>
      <c r="D15" s="55"/>
      <c r="E15" s="55">
        <v>-30431181</v>
      </c>
      <c r="F15" s="117">
        <f t="shared" si="1"/>
        <v>-30431181</v>
      </c>
      <c r="G15" s="55"/>
      <c r="H15" s="55"/>
      <c r="I15" s="55"/>
      <c r="J15" s="55">
        <v>104213713</v>
      </c>
      <c r="K15" s="117">
        <v>104213713</v>
      </c>
      <c r="L15" s="55"/>
      <c r="M15" s="55"/>
      <c r="N15" s="55"/>
      <c r="O15" s="55"/>
      <c r="P15" s="117"/>
      <c r="Q15" s="55"/>
      <c r="R15" s="55"/>
      <c r="S15" s="55"/>
      <c r="T15" s="55"/>
      <c r="U15" s="117"/>
      <c r="V15" s="55"/>
      <c r="W15" s="55"/>
      <c r="X15" s="55"/>
      <c r="Y15" s="55"/>
      <c r="Z15" s="117"/>
    </row>
    <row r="16" spans="1:28" x14ac:dyDescent="0.3">
      <c r="A16" s="60" t="s">
        <v>148</v>
      </c>
      <c r="B16" s="55"/>
      <c r="C16" s="55"/>
      <c r="D16" s="55">
        <v>-70000</v>
      </c>
      <c r="E16" s="55">
        <v>-39679</v>
      </c>
      <c r="F16" s="117">
        <f t="shared" si="1"/>
        <v>-109679</v>
      </c>
      <c r="G16" s="55"/>
      <c r="H16" s="55">
        <v>26369308</v>
      </c>
      <c r="I16" s="55">
        <v>88205</v>
      </c>
      <c r="J16" s="55">
        <v>630105</v>
      </c>
      <c r="K16" s="117">
        <v>27087618</v>
      </c>
      <c r="L16" s="55">
        <v>-1285472</v>
      </c>
      <c r="M16" s="55">
        <v>-1084944</v>
      </c>
      <c r="N16" s="55">
        <v>-400000</v>
      </c>
      <c r="O16" s="55">
        <v>0</v>
      </c>
      <c r="P16" s="117">
        <v>-2770416</v>
      </c>
      <c r="Q16" s="55"/>
      <c r="R16" s="55"/>
      <c r="S16" s="55"/>
      <c r="T16" s="55">
        <v>-15007</v>
      </c>
      <c r="U16" s="117">
        <v>-15007</v>
      </c>
      <c r="V16" s="55"/>
      <c r="W16" s="55"/>
      <c r="X16" s="55"/>
      <c r="Y16" s="55"/>
      <c r="Z16" s="117"/>
      <c r="AB16" s="42">
        <v>-217699</v>
      </c>
    </row>
    <row r="17" spans="1:28" x14ac:dyDescent="0.3">
      <c r="A17" s="60" t="s">
        <v>149</v>
      </c>
      <c r="B17" s="55"/>
      <c r="C17" s="55"/>
      <c r="D17" s="55"/>
      <c r="E17" s="55"/>
      <c r="F17" s="117"/>
      <c r="G17" s="55"/>
      <c r="H17" s="55"/>
      <c r="I17" s="55"/>
      <c r="J17" s="55"/>
      <c r="K17" s="117"/>
      <c r="L17" s="55"/>
      <c r="M17" s="55"/>
      <c r="N17" s="55"/>
      <c r="O17" s="55">
        <v>-29738182</v>
      </c>
      <c r="P17" s="117">
        <v>-29738182</v>
      </c>
      <c r="Q17" s="55">
        <v>-149513068</v>
      </c>
      <c r="R17" s="55">
        <v>0</v>
      </c>
      <c r="S17" s="55">
        <v>-982291</v>
      </c>
      <c r="T17" s="55">
        <v>-3310601</v>
      </c>
      <c r="U17" s="117">
        <v>-153805960</v>
      </c>
      <c r="V17" s="55"/>
      <c r="W17" s="55"/>
      <c r="X17" s="55"/>
      <c r="Y17" s="55"/>
      <c r="Z17" s="117"/>
    </row>
    <row r="18" spans="1:28" x14ac:dyDescent="0.3">
      <c r="A18" s="60" t="s">
        <v>150</v>
      </c>
      <c r="B18" s="55"/>
      <c r="C18" s="55">
        <v>7500000</v>
      </c>
      <c r="D18" s="55">
        <v>3750000</v>
      </c>
      <c r="E18" s="55">
        <v>3750000</v>
      </c>
      <c r="F18" s="117">
        <f>SUM(B18:E18)</f>
        <v>15000000</v>
      </c>
      <c r="G18" s="55"/>
      <c r="H18" s="55"/>
      <c r="I18" s="55"/>
      <c r="J18" s="55"/>
      <c r="K18" s="117"/>
      <c r="L18" s="55"/>
      <c r="M18" s="55"/>
      <c r="N18" s="55"/>
      <c r="O18" s="55"/>
      <c r="P18" s="117"/>
      <c r="Q18" s="55"/>
      <c r="R18" s="55"/>
      <c r="S18" s="55"/>
      <c r="T18" s="55"/>
      <c r="U18" s="117"/>
      <c r="V18" s="55"/>
      <c r="W18" s="55"/>
      <c r="X18" s="55"/>
      <c r="Y18" s="55"/>
      <c r="Z18" s="117"/>
      <c r="AB18" s="42">
        <v>9332380</v>
      </c>
    </row>
    <row r="19" spans="1:28" x14ac:dyDescent="0.3">
      <c r="A19" s="60" t="s">
        <v>151</v>
      </c>
      <c r="B19" s="55">
        <v>4500000</v>
      </c>
      <c r="C19" s="55">
        <v>3400000</v>
      </c>
      <c r="D19" s="55">
        <v>10600000</v>
      </c>
      <c r="E19" s="55">
        <v>6445000</v>
      </c>
      <c r="F19" s="117">
        <f>SUM(B19:E19)</f>
        <v>24945000</v>
      </c>
      <c r="G19" s="55">
        <v>21719150</v>
      </c>
      <c r="H19" s="55">
        <v>-21719150</v>
      </c>
      <c r="I19" s="55"/>
      <c r="J19" s="55"/>
      <c r="K19" s="117"/>
      <c r="L19" s="55"/>
      <c r="M19" s="55"/>
      <c r="N19" s="55"/>
      <c r="O19" s="55"/>
      <c r="P19" s="117"/>
      <c r="Q19" s="55"/>
      <c r="R19" s="55"/>
      <c r="S19" s="55"/>
      <c r="T19" s="55"/>
      <c r="U19" s="117"/>
      <c r="V19" s="55"/>
      <c r="W19" s="55"/>
      <c r="X19" s="55"/>
      <c r="Y19" s="55"/>
      <c r="Z19" s="117"/>
    </row>
    <row r="20" spans="1:28" x14ac:dyDescent="0.3">
      <c r="A20" s="60" t="s">
        <v>152</v>
      </c>
      <c r="B20" s="55"/>
      <c r="C20" s="55"/>
      <c r="D20" s="55"/>
      <c r="E20" s="55"/>
      <c r="F20" s="117"/>
      <c r="G20" s="55"/>
      <c r="H20" s="55"/>
      <c r="I20" s="55"/>
      <c r="J20" s="55">
        <v>6924716</v>
      </c>
      <c r="K20" s="117">
        <v>6924716</v>
      </c>
      <c r="L20" s="55"/>
      <c r="M20" s="55"/>
      <c r="N20" s="55"/>
      <c r="O20" s="55"/>
      <c r="P20" s="117"/>
      <c r="Q20" s="55"/>
      <c r="R20" s="55"/>
      <c r="S20" s="55"/>
      <c r="T20" s="55"/>
      <c r="U20" s="117"/>
      <c r="V20" s="55"/>
      <c r="W20" s="55"/>
      <c r="X20" s="55"/>
      <c r="Y20" s="55"/>
      <c r="Z20" s="117"/>
    </row>
    <row r="21" spans="1:28" x14ac:dyDescent="0.3">
      <c r="A21" s="60" t="s">
        <v>153</v>
      </c>
      <c r="B21" s="55"/>
      <c r="C21" s="55"/>
      <c r="D21" s="55"/>
      <c r="E21" s="55">
        <v>5194831</v>
      </c>
      <c r="F21" s="117">
        <f>SUM(B21:E21)</f>
        <v>5194831</v>
      </c>
      <c r="G21" s="55"/>
      <c r="H21" s="55"/>
      <c r="I21" s="55"/>
      <c r="J21" s="55"/>
      <c r="K21" s="117"/>
      <c r="L21" s="55"/>
      <c r="M21" s="55"/>
      <c r="N21" s="55"/>
      <c r="O21" s="55"/>
      <c r="P21" s="117"/>
      <c r="Q21" s="55"/>
      <c r="R21" s="55"/>
      <c r="S21" s="55"/>
      <c r="T21" s="55"/>
      <c r="U21" s="117"/>
      <c r="V21" s="55"/>
      <c r="W21" s="55"/>
      <c r="X21" s="55"/>
      <c r="Y21" s="55"/>
      <c r="Z21" s="117"/>
    </row>
    <row r="22" spans="1:28" x14ac:dyDescent="0.3">
      <c r="A22" s="60" t="s">
        <v>154</v>
      </c>
      <c r="B22" s="55">
        <v>-408430</v>
      </c>
      <c r="C22" s="55">
        <v>-415748</v>
      </c>
      <c r="D22" s="55">
        <v>246328</v>
      </c>
      <c r="E22" s="55">
        <v>-21944</v>
      </c>
      <c r="F22" s="117">
        <f>SUM(B22:E22)</f>
        <v>-599794</v>
      </c>
      <c r="G22" s="55">
        <v>-290684</v>
      </c>
      <c r="H22" s="55">
        <v>-253177</v>
      </c>
      <c r="I22" s="55">
        <v>-123044</v>
      </c>
      <c r="J22" s="55">
        <v>666905</v>
      </c>
      <c r="K22" s="117"/>
      <c r="L22" s="55"/>
      <c r="M22" s="55"/>
      <c r="N22" s="55"/>
      <c r="O22" s="55"/>
      <c r="P22" s="117"/>
      <c r="Q22" s="55"/>
      <c r="R22" s="55"/>
      <c r="S22" s="55"/>
      <c r="T22" s="55"/>
      <c r="U22" s="117"/>
      <c r="V22" s="55"/>
      <c r="W22" s="55"/>
      <c r="X22" s="55"/>
      <c r="Y22" s="55"/>
      <c r="Z22" s="117"/>
      <c r="AB22" s="42">
        <v>-3949302</v>
      </c>
    </row>
    <row r="23" spans="1:28" x14ac:dyDescent="0.3">
      <c r="A23" s="60" t="s">
        <v>155</v>
      </c>
      <c r="B23" s="55"/>
      <c r="C23" s="55">
        <v>-8420754</v>
      </c>
      <c r="D23" s="55">
        <v>-47888558</v>
      </c>
      <c r="E23" s="55">
        <v>56309312</v>
      </c>
      <c r="F23" s="117"/>
      <c r="G23" s="55">
        <v>-7479722</v>
      </c>
      <c r="H23" s="55">
        <v>-6385333</v>
      </c>
      <c r="I23" s="55">
        <v>-6255051</v>
      </c>
      <c r="J23" s="55">
        <v>20120106</v>
      </c>
      <c r="K23" s="117"/>
      <c r="L23" s="55"/>
      <c r="M23" s="55"/>
      <c r="N23" s="55"/>
      <c r="O23" s="55"/>
      <c r="P23" s="117"/>
      <c r="Q23" s="55"/>
      <c r="R23" s="55"/>
      <c r="S23" s="55"/>
      <c r="T23" s="55"/>
      <c r="U23" s="117"/>
      <c r="V23" s="55"/>
      <c r="W23" s="55"/>
      <c r="X23" s="55"/>
      <c r="Y23" s="55"/>
      <c r="Z23" s="117"/>
    </row>
    <row r="24" spans="1:28" x14ac:dyDescent="0.3">
      <c r="A24" s="60" t="s">
        <v>156</v>
      </c>
      <c r="B24" s="55"/>
      <c r="C24" s="55"/>
      <c r="D24" s="55"/>
      <c r="E24" s="55"/>
      <c r="F24" s="117"/>
      <c r="G24" s="55"/>
      <c r="H24" s="55"/>
      <c r="I24" s="55"/>
      <c r="J24" s="55"/>
      <c r="K24" s="117"/>
      <c r="L24" s="55"/>
      <c r="M24" s="55"/>
      <c r="N24" s="55"/>
      <c r="O24" s="55"/>
      <c r="P24" s="117"/>
      <c r="Q24" s="55"/>
      <c r="R24" s="55"/>
      <c r="S24" s="55">
        <v>-219802796</v>
      </c>
      <c r="T24" s="55">
        <v>219802796</v>
      </c>
      <c r="U24" s="117"/>
      <c r="V24" s="55"/>
      <c r="W24" s="55">
        <v>-31853583</v>
      </c>
      <c r="X24" s="55">
        <v>15889503</v>
      </c>
      <c r="Y24" s="55">
        <v>15964080</v>
      </c>
      <c r="Z24" s="117"/>
    </row>
    <row r="25" spans="1:28" ht="15" thickBot="1" x14ac:dyDescent="0.35">
      <c r="A25" s="60" t="s">
        <v>157</v>
      </c>
      <c r="B25" s="55">
        <v>-183267</v>
      </c>
      <c r="C25" s="55">
        <v>2732822</v>
      </c>
      <c r="D25" s="55">
        <v>-3798031</v>
      </c>
      <c r="E25" s="55">
        <v>1551963</v>
      </c>
      <c r="F25" s="117">
        <f>SUM(B25:E25)</f>
        <v>303487</v>
      </c>
      <c r="G25" s="55"/>
      <c r="H25" s="55">
        <v>32240411</v>
      </c>
      <c r="I25" s="55">
        <v>21161831</v>
      </c>
      <c r="J25" s="55">
        <v>69969929</v>
      </c>
      <c r="K25" s="117">
        <v>123372171</v>
      </c>
      <c r="L25" s="55">
        <v>-137789964</v>
      </c>
      <c r="M25" s="55">
        <v>-121442705</v>
      </c>
      <c r="N25" s="55">
        <v>-98052778</v>
      </c>
      <c r="O25" s="55">
        <v>-3658739</v>
      </c>
      <c r="P25" s="117">
        <v>-360944186</v>
      </c>
      <c r="Q25" s="55">
        <v>122402303</v>
      </c>
      <c r="R25" s="55">
        <v>-97801</v>
      </c>
      <c r="S25" s="55">
        <v>-122304502</v>
      </c>
      <c r="T25" s="55">
        <v>-201137365</v>
      </c>
      <c r="U25" s="117">
        <v>-201137365</v>
      </c>
      <c r="V25" s="55">
        <v>-11029001</v>
      </c>
      <c r="W25" s="55">
        <v>11029001</v>
      </c>
      <c r="X25" s="55"/>
      <c r="Y25" s="55">
        <v>-16448402</v>
      </c>
      <c r="Z25" s="117">
        <v>-16448402</v>
      </c>
      <c r="AB25" s="42">
        <v>7175132</v>
      </c>
    </row>
    <row r="26" spans="1:28" x14ac:dyDescent="0.3">
      <c r="A26" s="62" t="s">
        <v>158</v>
      </c>
      <c r="B26" s="59">
        <f>B5+SUM(B7:B25)</f>
        <v>64520182</v>
      </c>
      <c r="C26" s="59">
        <f>C5+SUM(C7:C25)</f>
        <v>76655979</v>
      </c>
      <c r="D26" s="59">
        <f>D5+SUM(D7:D25)</f>
        <v>-19838815</v>
      </c>
      <c r="E26" s="59">
        <f>E5+SUM(E7:E25)</f>
        <v>119491571</v>
      </c>
      <c r="F26" s="118">
        <f>SUM(B26:E26)</f>
        <v>240828917</v>
      </c>
      <c r="G26" s="59">
        <f t="shared" ref="G26:Z26" si="2">G5+SUM(G7:G25)</f>
        <v>101355063</v>
      </c>
      <c r="H26" s="59">
        <f t="shared" si="2"/>
        <v>10453365</v>
      </c>
      <c r="I26" s="59">
        <f t="shared" si="2"/>
        <v>50408376</v>
      </c>
      <c r="J26" s="59">
        <f t="shared" si="2"/>
        <v>386578782</v>
      </c>
      <c r="K26" s="118">
        <f t="shared" si="2"/>
        <v>548795586</v>
      </c>
      <c r="L26" s="59">
        <f t="shared" si="2"/>
        <v>67006032</v>
      </c>
      <c r="M26" s="59">
        <f t="shared" si="2"/>
        <v>247734229</v>
      </c>
      <c r="N26" s="59">
        <f t="shared" si="2"/>
        <v>118049551</v>
      </c>
      <c r="O26" s="59">
        <f>O5+SUM(O7:O25)</f>
        <v>227703118</v>
      </c>
      <c r="P26" s="118">
        <f t="shared" si="2"/>
        <v>660492930</v>
      </c>
      <c r="Q26" s="59">
        <f t="shared" si="2"/>
        <v>689518859</v>
      </c>
      <c r="R26" s="59">
        <f t="shared" si="2"/>
        <v>350045353</v>
      </c>
      <c r="S26" s="59">
        <f t="shared" si="2"/>
        <v>63228512</v>
      </c>
      <c r="T26" s="59">
        <f t="shared" si="2"/>
        <v>228181223</v>
      </c>
      <c r="U26" s="118">
        <f t="shared" si="2"/>
        <v>1330973947</v>
      </c>
      <c r="V26" s="59">
        <f t="shared" si="2"/>
        <v>255210864</v>
      </c>
      <c r="W26" s="59">
        <f t="shared" si="2"/>
        <v>229623198</v>
      </c>
      <c r="X26" s="59">
        <f t="shared" si="2"/>
        <v>314259424</v>
      </c>
      <c r="Y26" s="59">
        <f t="shared" si="2"/>
        <v>181747804</v>
      </c>
      <c r="Z26" s="118">
        <f t="shared" si="2"/>
        <v>980841290</v>
      </c>
      <c r="AB26" s="42">
        <f>AB5+SUM(AB7:AB25)+(32344693-8107168)+1142269-25044</f>
        <v>48819983</v>
      </c>
    </row>
    <row r="27" spans="1:28" x14ac:dyDescent="0.3">
      <c r="A27" s="61" t="s">
        <v>159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8" x14ac:dyDescent="0.3">
      <c r="A28" s="60" t="s">
        <v>160</v>
      </c>
      <c r="B28" s="55">
        <v>-36856249</v>
      </c>
      <c r="C28" s="55">
        <v>-94758124</v>
      </c>
      <c r="D28" s="55">
        <v>-31556459</v>
      </c>
      <c r="E28" s="55">
        <v>15096422</v>
      </c>
      <c r="F28" s="117">
        <f>SUM(B28:E28)</f>
        <v>-148074410</v>
      </c>
      <c r="G28" s="55">
        <v>-40824583</v>
      </c>
      <c r="H28" s="55">
        <v>-76174353</v>
      </c>
      <c r="I28" s="55">
        <v>24350349</v>
      </c>
      <c r="J28" s="55">
        <v>-205195922</v>
      </c>
      <c r="K28" s="117">
        <v>-297844509</v>
      </c>
      <c r="L28" s="55">
        <v>-374111193</v>
      </c>
      <c r="M28" s="55">
        <v>-125087900</v>
      </c>
      <c r="N28" s="55">
        <v>112200246</v>
      </c>
      <c r="O28" s="55">
        <v>159812434</v>
      </c>
      <c r="P28" s="117">
        <v>-227186413</v>
      </c>
      <c r="Q28" s="55">
        <v>-293966912</v>
      </c>
      <c r="R28" s="55">
        <v>-316161043</v>
      </c>
      <c r="S28" s="55">
        <v>-200482262</v>
      </c>
      <c r="T28" s="55">
        <v>-214418525</v>
      </c>
      <c r="U28" s="117">
        <v>-1025028742</v>
      </c>
      <c r="V28" s="55">
        <v>-57258352</v>
      </c>
      <c r="W28" s="55">
        <v>-131779108</v>
      </c>
      <c r="X28" s="55">
        <v>-131637314</v>
      </c>
      <c r="Y28" s="55">
        <v>-28910616</v>
      </c>
      <c r="Z28" s="117">
        <v>-349585390</v>
      </c>
      <c r="AB28" s="42">
        <v>111597065</v>
      </c>
    </row>
    <row r="29" spans="1:28" x14ac:dyDescent="0.3">
      <c r="A29" s="60" t="s">
        <v>161</v>
      </c>
      <c r="B29" s="55">
        <v>-59312981</v>
      </c>
      <c r="C29" s="55">
        <v>-69351383</v>
      </c>
      <c r="D29" s="55">
        <v>-6455641</v>
      </c>
      <c r="E29" s="55">
        <v>72630621</v>
      </c>
      <c r="F29" s="117">
        <f>SUM(B29:E29)</f>
        <v>-62489384</v>
      </c>
      <c r="G29" s="55">
        <v>-132000726</v>
      </c>
      <c r="H29" s="55">
        <v>-15896490</v>
      </c>
      <c r="I29" s="55">
        <v>-85961603</v>
      </c>
      <c r="J29" s="55">
        <v>-53047768</v>
      </c>
      <c r="K29" s="117">
        <v>-286906587</v>
      </c>
      <c r="L29" s="55">
        <v>-20672257</v>
      </c>
      <c r="M29" s="55">
        <v>-112829497</v>
      </c>
      <c r="N29" s="55">
        <v>-9518392</v>
      </c>
      <c r="O29" s="55">
        <v>116006837</v>
      </c>
      <c r="P29" s="117">
        <v>-27013309</v>
      </c>
      <c r="Q29" s="55">
        <v>-263362136</v>
      </c>
      <c r="R29" s="55">
        <v>-78415475</v>
      </c>
      <c r="S29" s="55">
        <v>115960027</v>
      </c>
      <c r="T29" s="55">
        <v>-42681233</v>
      </c>
      <c r="U29" s="117">
        <v>-268498817</v>
      </c>
      <c r="V29" s="55">
        <v>-155807220</v>
      </c>
      <c r="W29" s="55">
        <v>-214720217</v>
      </c>
      <c r="X29" s="55">
        <v>105709675</v>
      </c>
      <c r="Y29" s="55">
        <v>50261745</v>
      </c>
      <c r="Z29" s="117">
        <v>-214556017</v>
      </c>
      <c r="AB29" s="42">
        <v>27368933</v>
      </c>
    </row>
    <row r="30" spans="1:28" x14ac:dyDescent="0.3">
      <c r="A30" s="60" t="s">
        <v>162</v>
      </c>
      <c r="B30" s="55">
        <v>68965658</v>
      </c>
      <c r="C30" s="55">
        <v>35700473</v>
      </c>
      <c r="D30" s="55">
        <v>95307558</v>
      </c>
      <c r="E30" s="55">
        <v>-42620336</v>
      </c>
      <c r="F30" s="117">
        <f t="shared" ref="F30:F32" si="3">SUM(B30:E30)</f>
        <v>157353353</v>
      </c>
      <c r="G30" s="55">
        <v>152945094</v>
      </c>
      <c r="H30" s="55">
        <v>-45466243</v>
      </c>
      <c r="I30" s="55">
        <v>140424758</v>
      </c>
      <c r="J30" s="55">
        <v>85957859</v>
      </c>
      <c r="K30" s="117">
        <v>333861468</v>
      </c>
      <c r="L30" s="55">
        <v>56954985</v>
      </c>
      <c r="M30" s="55">
        <v>41824760</v>
      </c>
      <c r="N30" s="55">
        <v>18911324</v>
      </c>
      <c r="O30" s="55">
        <v>-76843911</v>
      </c>
      <c r="P30" s="117">
        <v>40847158</v>
      </c>
      <c r="Q30" s="55">
        <v>316644682</v>
      </c>
      <c r="R30" s="55">
        <v>88581489</v>
      </c>
      <c r="S30" s="55">
        <v>338677000</v>
      </c>
      <c r="T30" s="55">
        <v>196487698</v>
      </c>
      <c r="U30" s="117">
        <v>940390869</v>
      </c>
      <c r="V30" s="55">
        <v>-276389720</v>
      </c>
      <c r="W30" s="55">
        <v>72603131</v>
      </c>
      <c r="X30" s="55">
        <v>201556523</v>
      </c>
      <c r="Y30" s="55">
        <v>-83931109</v>
      </c>
      <c r="Z30" s="117">
        <v>-86161175</v>
      </c>
      <c r="AB30" s="42">
        <v>229489994</v>
      </c>
    </row>
    <row r="31" spans="1:28" x14ac:dyDescent="0.3">
      <c r="A31" s="60" t="s">
        <v>163</v>
      </c>
      <c r="B31" s="55">
        <v>-11420300</v>
      </c>
      <c r="C31" s="55">
        <v>11420300</v>
      </c>
      <c r="D31" s="55"/>
      <c r="E31" s="55">
        <v>-7320852</v>
      </c>
      <c r="F31" s="117">
        <f t="shared" si="3"/>
        <v>-7320852</v>
      </c>
      <c r="G31" s="55">
        <v>1596722</v>
      </c>
      <c r="H31" s="55">
        <v>-188763</v>
      </c>
      <c r="I31" s="55">
        <v>8689256</v>
      </c>
      <c r="J31" s="55">
        <v>19578317</v>
      </c>
      <c r="K31" s="117">
        <v>29675532</v>
      </c>
      <c r="L31" s="55">
        <v>9331258</v>
      </c>
      <c r="M31" s="55">
        <v>5625614</v>
      </c>
      <c r="N31" s="55">
        <v>6749153</v>
      </c>
      <c r="O31" s="55">
        <v>44206402</v>
      </c>
      <c r="P31" s="117">
        <v>65912427</v>
      </c>
      <c r="Q31" s="55">
        <v>12324503</v>
      </c>
      <c r="R31" s="55">
        <v>1623629</v>
      </c>
      <c r="S31" s="55">
        <v>2719598</v>
      </c>
      <c r="T31" s="55">
        <v>18935189</v>
      </c>
      <c r="U31" s="117">
        <v>35602919</v>
      </c>
      <c r="V31" s="55">
        <v>17863604</v>
      </c>
      <c r="W31" s="55">
        <v>19733841</v>
      </c>
      <c r="X31" s="55">
        <v>14935049</v>
      </c>
      <c r="Y31" s="55">
        <v>46750116</v>
      </c>
      <c r="Z31" s="117">
        <v>99282610</v>
      </c>
    </row>
    <row r="32" spans="1:28" ht="15" thickBot="1" x14ac:dyDescent="0.35">
      <c r="A32" s="60" t="s">
        <v>164</v>
      </c>
      <c r="B32" s="55"/>
      <c r="C32" s="55"/>
      <c r="D32" s="55">
        <v>-68524899</v>
      </c>
      <c r="E32" s="55">
        <v>26024899</v>
      </c>
      <c r="F32" s="117">
        <f t="shared" si="3"/>
        <v>-42500000</v>
      </c>
      <c r="G32" s="55"/>
      <c r="H32" s="55"/>
      <c r="I32" s="55"/>
      <c r="J32" s="55">
        <v>-46777535</v>
      </c>
      <c r="K32" s="117">
        <v>-46777535</v>
      </c>
      <c r="L32" s="55"/>
      <c r="M32" s="55"/>
      <c r="N32" s="55"/>
      <c r="O32" s="55">
        <v>-85610048</v>
      </c>
      <c r="P32" s="117">
        <v>-85610048</v>
      </c>
      <c r="Q32" s="55"/>
      <c r="R32" s="55"/>
      <c r="S32" s="55"/>
      <c r="T32" s="55"/>
      <c r="U32" s="117"/>
      <c r="V32" s="55"/>
      <c r="W32" s="55"/>
      <c r="X32" s="55"/>
      <c r="Y32" s="55"/>
      <c r="Z32" s="117"/>
    </row>
    <row r="33" spans="1:28" x14ac:dyDescent="0.3">
      <c r="A33" s="62" t="s">
        <v>165</v>
      </c>
      <c r="B33" s="59">
        <f>B26+SUM(B28:B32)</f>
        <v>25896310</v>
      </c>
      <c r="C33" s="59">
        <f>C26+SUM(C28:C32)</f>
        <v>-40332755</v>
      </c>
      <c r="D33" s="59">
        <f>D26+SUM(D28:D32)</f>
        <v>-31068256</v>
      </c>
      <c r="E33" s="59">
        <f>E26+SUM(E28:E32)</f>
        <v>183302325</v>
      </c>
      <c r="F33" s="118">
        <f>SUM(B33:E33)</f>
        <v>137797624</v>
      </c>
      <c r="G33" s="59">
        <f t="shared" ref="G33:Z33" si="4">G26+SUM(G28:G32)</f>
        <v>83071570</v>
      </c>
      <c r="H33" s="59">
        <f t="shared" si="4"/>
        <v>-127272484</v>
      </c>
      <c r="I33" s="59">
        <f t="shared" si="4"/>
        <v>137911136</v>
      </c>
      <c r="J33" s="59">
        <f t="shared" si="4"/>
        <v>187093733</v>
      </c>
      <c r="K33" s="118">
        <f t="shared" si="4"/>
        <v>280803955</v>
      </c>
      <c r="L33" s="59">
        <f t="shared" si="4"/>
        <v>-261491175</v>
      </c>
      <c r="M33" s="59">
        <f t="shared" si="4"/>
        <v>57267206</v>
      </c>
      <c r="N33" s="59">
        <f t="shared" si="4"/>
        <v>246391882</v>
      </c>
      <c r="O33" s="59">
        <f t="shared" si="4"/>
        <v>385274832</v>
      </c>
      <c r="P33" s="118">
        <f t="shared" si="4"/>
        <v>427442745</v>
      </c>
      <c r="Q33" s="59">
        <f t="shared" si="4"/>
        <v>461158996</v>
      </c>
      <c r="R33" s="59">
        <f t="shared" si="4"/>
        <v>45673953</v>
      </c>
      <c r="S33" s="59">
        <f t="shared" si="4"/>
        <v>320102875</v>
      </c>
      <c r="T33" s="59">
        <f t="shared" si="4"/>
        <v>186504352</v>
      </c>
      <c r="U33" s="118">
        <f t="shared" si="4"/>
        <v>1013440176</v>
      </c>
      <c r="V33" s="59">
        <f t="shared" si="4"/>
        <v>-216380824</v>
      </c>
      <c r="W33" s="59">
        <f t="shared" si="4"/>
        <v>-24539155</v>
      </c>
      <c r="X33" s="59">
        <f t="shared" si="4"/>
        <v>504823357</v>
      </c>
      <c r="Y33" s="59">
        <f t="shared" si="4"/>
        <v>165917940</v>
      </c>
      <c r="Z33" s="118">
        <f t="shared" si="4"/>
        <v>429821318</v>
      </c>
      <c r="AB33" s="42">
        <f>AB26+SUM(AB28:AB32)</f>
        <v>417275975</v>
      </c>
    </row>
    <row r="34" spans="1:28" x14ac:dyDescent="0.3">
      <c r="A34" s="60" t="s">
        <v>166</v>
      </c>
      <c r="B34" s="55"/>
      <c r="C34" s="55"/>
      <c r="D34" s="55"/>
      <c r="E34" s="55">
        <v>3840095</v>
      </c>
      <c r="F34" s="117">
        <f>SUM(B34:E34)</f>
        <v>3840095</v>
      </c>
      <c r="G34" s="55"/>
      <c r="H34" s="55"/>
      <c r="I34" s="55"/>
      <c r="J34" s="55">
        <v>4980868</v>
      </c>
      <c r="K34" s="117">
        <v>4980868</v>
      </c>
      <c r="L34" s="55"/>
      <c r="M34" s="55"/>
      <c r="N34" s="55"/>
      <c r="O34" s="55"/>
      <c r="P34" s="117"/>
      <c r="Q34" s="55"/>
      <c r="R34" s="55"/>
      <c r="S34" s="55">
        <v>4812191</v>
      </c>
      <c r="T34" s="55">
        <v>2058752</v>
      </c>
      <c r="U34" s="117">
        <v>6870943</v>
      </c>
      <c r="V34" s="55">
        <v>416077</v>
      </c>
      <c r="W34" s="55">
        <v>1380375</v>
      </c>
      <c r="X34" s="55">
        <v>1726445</v>
      </c>
      <c r="Y34" s="55">
        <v>-2415343</v>
      </c>
      <c r="Z34" s="117">
        <v>1107554</v>
      </c>
    </row>
    <row r="35" spans="1:28" x14ac:dyDescent="0.3">
      <c r="A35" s="60" t="s">
        <v>167</v>
      </c>
      <c r="B35" s="55"/>
      <c r="C35" s="55"/>
      <c r="D35" s="55"/>
      <c r="E35" s="55">
        <v>-78442485</v>
      </c>
      <c r="F35" s="117">
        <f>SUM(B35:E35)</f>
        <v>-78442485</v>
      </c>
      <c r="G35" s="55"/>
      <c r="H35" s="55"/>
      <c r="I35" s="55"/>
      <c r="J35" s="55">
        <v>-105114517</v>
      </c>
      <c r="K35" s="117">
        <v>-105114517</v>
      </c>
      <c r="L35" s="55"/>
      <c r="M35" s="55">
        <v>-107445940</v>
      </c>
      <c r="N35" s="55">
        <v>-66942574</v>
      </c>
      <c r="O35" s="55">
        <v>-69358543</v>
      </c>
      <c r="P35" s="117">
        <v>-243747057</v>
      </c>
      <c r="Q35" s="55">
        <v>-68136917</v>
      </c>
      <c r="R35" s="55">
        <v>-84548579</v>
      </c>
      <c r="S35" s="55">
        <v>-51717296</v>
      </c>
      <c r="T35" s="55">
        <v>-69700293</v>
      </c>
      <c r="U35" s="117">
        <v>-274103085</v>
      </c>
      <c r="V35" s="55">
        <v>-59713766</v>
      </c>
      <c r="W35" s="55">
        <v>-74652506</v>
      </c>
      <c r="X35" s="55">
        <v>-90797602</v>
      </c>
      <c r="Y35" s="55">
        <v>-64796959</v>
      </c>
      <c r="Z35" s="117">
        <v>-289960833</v>
      </c>
    </row>
    <row r="36" spans="1:28" x14ac:dyDescent="0.3">
      <c r="A36" s="60" t="s">
        <v>168</v>
      </c>
      <c r="B36" s="55"/>
      <c r="C36" s="55"/>
      <c r="D36" s="55"/>
      <c r="E36" s="55"/>
      <c r="F36" s="117"/>
      <c r="G36" s="55"/>
      <c r="H36" s="55"/>
      <c r="I36" s="55"/>
      <c r="J36" s="55"/>
      <c r="K36" s="117"/>
      <c r="L36" s="55"/>
      <c r="M36" s="55">
        <v>846785</v>
      </c>
      <c r="N36" s="55"/>
      <c r="O36" s="55">
        <v>-5051997</v>
      </c>
      <c r="P36" s="117">
        <v>-5051997</v>
      </c>
      <c r="Q36" s="55">
        <v>-1334200</v>
      </c>
      <c r="R36" s="55">
        <v>1334200</v>
      </c>
      <c r="S36" s="55">
        <v>-9509563</v>
      </c>
      <c r="T36" s="55">
        <v>1737604</v>
      </c>
      <c r="U36" s="117">
        <v>-7771959</v>
      </c>
      <c r="V36" s="55">
        <v>-1549797</v>
      </c>
      <c r="W36" s="55">
        <v>-12684881</v>
      </c>
      <c r="X36" s="55">
        <v>8076758</v>
      </c>
      <c r="Y36" s="55">
        <v>-2397287</v>
      </c>
      <c r="Z36" s="117">
        <v>-8555207</v>
      </c>
    </row>
    <row r="37" spans="1:28" x14ac:dyDescent="0.3">
      <c r="A37" s="60" t="s">
        <v>169</v>
      </c>
      <c r="B37" s="55">
        <v>-4370803</v>
      </c>
      <c r="C37" s="55">
        <v>-25129229</v>
      </c>
      <c r="D37" s="55">
        <v>-5644465</v>
      </c>
      <c r="E37" s="55">
        <v>-22629473</v>
      </c>
      <c r="F37" s="117">
        <f t="shared" ref="F37:F38" si="5">SUM(B37:E37)</f>
        <v>-57773970</v>
      </c>
      <c r="G37" s="55">
        <v>-14085191</v>
      </c>
      <c r="H37" s="55">
        <v>-32889830</v>
      </c>
      <c r="I37" s="55">
        <v>1816742</v>
      </c>
      <c r="J37" s="55">
        <v>-10150666</v>
      </c>
      <c r="K37" s="117">
        <v>-55308945</v>
      </c>
      <c r="L37" s="55">
        <v>-8691819</v>
      </c>
      <c r="M37" s="55">
        <v>-25175900</v>
      </c>
      <c r="N37" s="55">
        <v>-33644612</v>
      </c>
      <c r="O37" s="55">
        <v>26118678</v>
      </c>
      <c r="P37" s="117">
        <v>-41393653</v>
      </c>
      <c r="Q37" s="55">
        <v>-6233176</v>
      </c>
      <c r="R37" s="55">
        <v>-170024782</v>
      </c>
      <c r="S37" s="55">
        <v>-9575106</v>
      </c>
      <c r="T37" s="55">
        <v>-15527184</v>
      </c>
      <c r="U37" s="117">
        <v>-201360248</v>
      </c>
      <c r="V37" s="55">
        <v>-11798856</v>
      </c>
      <c r="W37" s="55">
        <v>-286039064</v>
      </c>
      <c r="X37" s="55">
        <v>-15750932</v>
      </c>
      <c r="Y37" s="55">
        <v>-14799578</v>
      </c>
      <c r="Z37" s="117">
        <v>-328388430</v>
      </c>
      <c r="AB37" s="42">
        <v>-25415298</v>
      </c>
    </row>
    <row r="38" spans="1:28" ht="15" thickBot="1" x14ac:dyDescent="0.35">
      <c r="A38" s="60" t="s">
        <v>170</v>
      </c>
      <c r="B38" s="55"/>
      <c r="C38" s="55">
        <v>-32573450</v>
      </c>
      <c r="D38" s="55">
        <v>32073450</v>
      </c>
      <c r="E38" s="55">
        <v>-9650655</v>
      </c>
      <c r="F38" s="117">
        <f t="shared" si="5"/>
        <v>-10150655</v>
      </c>
      <c r="G38" s="55"/>
      <c r="H38" s="55"/>
      <c r="I38" s="55"/>
      <c r="J38" s="55"/>
      <c r="K38" s="117"/>
      <c r="L38" s="55"/>
      <c r="M38" s="55"/>
      <c r="N38" s="55"/>
      <c r="O38" s="55"/>
      <c r="P38" s="117"/>
      <c r="Q38" s="55"/>
      <c r="R38" s="55"/>
      <c r="S38" s="55"/>
      <c r="T38" s="55"/>
      <c r="U38" s="117"/>
      <c r="V38" s="55"/>
      <c r="W38" s="55"/>
      <c r="X38" s="55"/>
      <c r="Y38" s="55"/>
      <c r="Z38" s="117"/>
      <c r="AB38" s="42">
        <v>-39206423</v>
      </c>
    </row>
    <row r="39" spans="1:28" x14ac:dyDescent="0.3">
      <c r="A39" s="62" t="s">
        <v>171</v>
      </c>
      <c r="B39" s="59">
        <f t="shared" ref="B39:Z39" si="6">B33+SUM(B34:B38)</f>
        <v>21525507</v>
      </c>
      <c r="C39" s="59">
        <f t="shared" si="6"/>
        <v>-98035434</v>
      </c>
      <c r="D39" s="59">
        <f t="shared" si="6"/>
        <v>-4639271</v>
      </c>
      <c r="E39" s="59">
        <f t="shared" si="6"/>
        <v>76419807</v>
      </c>
      <c r="F39" s="118">
        <f t="shared" si="6"/>
        <v>-4729391</v>
      </c>
      <c r="G39" s="59">
        <f t="shared" si="6"/>
        <v>68986379</v>
      </c>
      <c r="H39" s="59">
        <f t="shared" si="6"/>
        <v>-160162314</v>
      </c>
      <c r="I39" s="59">
        <f t="shared" si="6"/>
        <v>139727878</v>
      </c>
      <c r="J39" s="59">
        <f t="shared" si="6"/>
        <v>76809418</v>
      </c>
      <c r="K39" s="118">
        <f t="shared" si="6"/>
        <v>125361361</v>
      </c>
      <c r="L39" s="59">
        <f t="shared" si="6"/>
        <v>-270182994</v>
      </c>
      <c r="M39" s="59">
        <f t="shared" si="6"/>
        <v>-74507849</v>
      </c>
      <c r="N39" s="59">
        <f t="shared" si="6"/>
        <v>145804696</v>
      </c>
      <c r="O39" s="59">
        <f t="shared" si="6"/>
        <v>336982970</v>
      </c>
      <c r="P39" s="118">
        <f t="shared" si="6"/>
        <v>137250038</v>
      </c>
      <c r="Q39" s="59">
        <f t="shared" si="6"/>
        <v>385454703</v>
      </c>
      <c r="R39" s="59">
        <f t="shared" si="6"/>
        <v>-207565208</v>
      </c>
      <c r="S39" s="59">
        <f t="shared" si="6"/>
        <v>254113101</v>
      </c>
      <c r="T39" s="59">
        <f t="shared" si="6"/>
        <v>105073231</v>
      </c>
      <c r="U39" s="118">
        <f t="shared" si="6"/>
        <v>537075827</v>
      </c>
      <c r="V39" s="59">
        <f t="shared" si="6"/>
        <v>-289027166</v>
      </c>
      <c r="W39" s="59">
        <f t="shared" si="6"/>
        <v>-396535231</v>
      </c>
      <c r="X39" s="59">
        <f t="shared" si="6"/>
        <v>408078026</v>
      </c>
      <c r="Y39" s="59">
        <f t="shared" si="6"/>
        <v>81508773</v>
      </c>
      <c r="Z39" s="118">
        <f t="shared" si="6"/>
        <v>-195975598</v>
      </c>
      <c r="AB39" s="42">
        <f>AB33+SUM(AB34:AB38)</f>
        <v>352654254</v>
      </c>
    </row>
    <row r="40" spans="1:28" x14ac:dyDescent="0.3">
      <c r="A40" s="56" t="s">
        <v>172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8" x14ac:dyDescent="0.3">
      <c r="A41" s="60" t="s">
        <v>173</v>
      </c>
      <c r="B41" s="55">
        <v>-10048996</v>
      </c>
      <c r="C41" s="55">
        <v>-18414616</v>
      </c>
      <c r="D41" s="55">
        <v>-16091138</v>
      </c>
      <c r="E41" s="55">
        <v>-20773997</v>
      </c>
      <c r="F41" s="117">
        <f>SUM(B41:E41)</f>
        <v>-65328747</v>
      </c>
      <c r="G41" s="55">
        <v>-29707526</v>
      </c>
      <c r="H41" s="55">
        <v>-16028118</v>
      </c>
      <c r="I41" s="55">
        <v>-9610366</v>
      </c>
      <c r="J41" s="55">
        <v>-48424900</v>
      </c>
      <c r="K41" s="117">
        <v>-103770910</v>
      </c>
      <c r="L41" s="55">
        <v>-35403060</v>
      </c>
      <c r="M41" s="55">
        <v>-39477604</v>
      </c>
      <c r="N41" s="55">
        <v>-67208029</v>
      </c>
      <c r="O41" s="55">
        <v>-122321724</v>
      </c>
      <c r="P41" s="117">
        <v>-264410417</v>
      </c>
      <c r="Q41" s="55">
        <v>-64112433</v>
      </c>
      <c r="R41" s="55">
        <v>-58985345</v>
      </c>
      <c r="S41" s="55">
        <v>-65929494</v>
      </c>
      <c r="T41" s="55">
        <v>-95932080</v>
      </c>
      <c r="U41" s="117">
        <v>-284959352</v>
      </c>
      <c r="V41" s="55">
        <v>-182200793</v>
      </c>
      <c r="W41" s="55">
        <v>-75242005</v>
      </c>
      <c r="X41" s="55">
        <v>-98482407</v>
      </c>
      <c r="Y41" s="55">
        <v>-110836619</v>
      </c>
      <c r="Z41" s="117">
        <v>-466761824</v>
      </c>
      <c r="AB41" s="42">
        <v>-57978637</v>
      </c>
    </row>
    <row r="42" spans="1:28" x14ac:dyDescent="0.3">
      <c r="A42" s="60" t="s">
        <v>174</v>
      </c>
      <c r="B42" s="55"/>
      <c r="C42" s="55"/>
      <c r="D42" s="55">
        <v>70000</v>
      </c>
      <c r="E42" s="55">
        <v>41972</v>
      </c>
      <c r="F42" s="117">
        <f>SUM(B42:E42)</f>
        <v>111972</v>
      </c>
      <c r="G42" s="55"/>
      <c r="H42" s="55">
        <v>18268907</v>
      </c>
      <c r="I42" s="55">
        <v>-57752</v>
      </c>
      <c r="J42" s="55">
        <v>988219</v>
      </c>
      <c r="K42" s="117">
        <v>19199374</v>
      </c>
      <c r="L42" s="55">
        <v>1285472</v>
      </c>
      <c r="M42" s="55">
        <v>1144264</v>
      </c>
      <c r="N42" s="55">
        <v>1144133</v>
      </c>
      <c r="O42" s="55">
        <v>-5606</v>
      </c>
      <c r="P42" s="117">
        <v>3568263</v>
      </c>
      <c r="Q42" s="55"/>
      <c r="R42" s="55"/>
      <c r="S42" s="55"/>
      <c r="T42" s="55">
        <v>15007</v>
      </c>
      <c r="U42" s="117">
        <v>15007</v>
      </c>
      <c r="V42" s="55"/>
      <c r="W42" s="55"/>
      <c r="X42" s="55"/>
      <c r="Y42" s="55"/>
      <c r="Z42" s="117"/>
      <c r="AB42" s="42">
        <v>214788628</v>
      </c>
    </row>
    <row r="43" spans="1:28" x14ac:dyDescent="0.3">
      <c r="A43" s="60" t="s">
        <v>175</v>
      </c>
      <c r="B43" s="55"/>
      <c r="C43" s="55"/>
      <c r="D43" s="55">
        <v>-1226195</v>
      </c>
      <c r="E43" s="55">
        <v>-1231770</v>
      </c>
      <c r="F43" s="117">
        <f>SUM(B43:E43)</f>
        <v>-2457965</v>
      </c>
      <c r="G43" s="55"/>
      <c r="H43" s="55"/>
      <c r="I43" s="55"/>
      <c r="J43" s="55">
        <v>-2531617</v>
      </c>
      <c r="K43" s="117">
        <v>-2531617</v>
      </c>
      <c r="L43" s="55"/>
      <c r="M43" s="55"/>
      <c r="N43" s="55">
        <v>-607825</v>
      </c>
      <c r="O43" s="55">
        <v>-3349727</v>
      </c>
      <c r="P43" s="117">
        <v>-3957552</v>
      </c>
      <c r="Q43" s="55">
        <v>-210867</v>
      </c>
      <c r="R43" s="55">
        <v>-1010970</v>
      </c>
      <c r="S43" s="55">
        <v>-182910</v>
      </c>
      <c r="T43" s="55">
        <v>-4783982</v>
      </c>
      <c r="U43" s="117">
        <v>-6188729</v>
      </c>
      <c r="V43" s="55">
        <v>-39814</v>
      </c>
      <c r="W43" s="55">
        <v>-1040</v>
      </c>
      <c r="X43" s="55">
        <v>-181</v>
      </c>
      <c r="Y43" s="55">
        <v>41035</v>
      </c>
      <c r="Z43" s="117"/>
      <c r="AB43" s="42">
        <v>-1070495</v>
      </c>
    </row>
    <row r="44" spans="1:28" x14ac:dyDescent="0.3">
      <c r="A44" s="60" t="s">
        <v>176</v>
      </c>
      <c r="B44" s="55"/>
      <c r="C44" s="55"/>
      <c r="D44" s="55"/>
      <c r="E44" s="55"/>
      <c r="F44" s="117"/>
      <c r="G44" s="55"/>
      <c r="H44" s="55"/>
      <c r="I44" s="55"/>
      <c r="J44" s="55"/>
      <c r="K44" s="117"/>
      <c r="L44" s="55"/>
      <c r="M44" s="55"/>
      <c r="N44" s="55"/>
      <c r="O44" s="55">
        <v>-48905131</v>
      </c>
      <c r="P44" s="117">
        <v>-48905131</v>
      </c>
      <c r="Q44" s="55">
        <v>-156483911</v>
      </c>
      <c r="R44" s="55">
        <v>0</v>
      </c>
      <c r="S44" s="55">
        <v>139078943</v>
      </c>
      <c r="T44" s="55">
        <v>-581557273</v>
      </c>
      <c r="U44" s="117">
        <v>-598962241</v>
      </c>
      <c r="V44" s="55"/>
      <c r="W44" s="55"/>
      <c r="X44" s="55"/>
      <c r="Y44" s="55"/>
      <c r="Z44" s="117"/>
    </row>
    <row r="45" spans="1:28" x14ac:dyDescent="0.3">
      <c r="A45" s="60" t="s">
        <v>177</v>
      </c>
      <c r="B45" s="55"/>
      <c r="C45" s="55"/>
      <c r="D45" s="55"/>
      <c r="E45" s="55"/>
      <c r="F45" s="117"/>
      <c r="G45" s="55"/>
      <c r="H45" s="55"/>
      <c r="I45" s="55"/>
      <c r="J45" s="55"/>
      <c r="K45" s="117"/>
      <c r="L45" s="55"/>
      <c r="M45" s="55"/>
      <c r="N45" s="55"/>
      <c r="O45" s="55">
        <v>78643313</v>
      </c>
      <c r="P45" s="117">
        <v>78643313</v>
      </c>
      <c r="Q45" s="55"/>
      <c r="R45" s="55">
        <v>305996979</v>
      </c>
      <c r="S45" s="55">
        <v>86382076</v>
      </c>
      <c r="T45" s="55">
        <v>360389146</v>
      </c>
      <c r="U45" s="117">
        <v>752768201</v>
      </c>
      <c r="V45" s="55"/>
      <c r="W45" s="55"/>
      <c r="X45" s="55"/>
      <c r="Y45" s="55"/>
      <c r="Z45" s="117"/>
    </row>
    <row r="46" spans="1:28" x14ac:dyDescent="0.3">
      <c r="A46" s="60" t="s">
        <v>178</v>
      </c>
      <c r="B46" s="55">
        <v>7443</v>
      </c>
      <c r="C46" s="55">
        <v>-7443</v>
      </c>
      <c r="D46" s="55"/>
      <c r="E46" s="55"/>
      <c r="F46" s="117"/>
      <c r="G46" s="55"/>
      <c r="H46" s="55"/>
      <c r="I46" s="55"/>
      <c r="J46" s="55"/>
      <c r="K46" s="117"/>
      <c r="L46" s="55"/>
      <c r="M46" s="55"/>
      <c r="N46" s="55"/>
      <c r="O46" s="55"/>
      <c r="P46" s="117"/>
      <c r="Q46" s="55"/>
      <c r="R46" s="55"/>
      <c r="S46" s="55"/>
      <c r="T46" s="55"/>
      <c r="U46" s="117"/>
      <c r="V46" s="55"/>
      <c r="W46" s="55"/>
      <c r="X46" s="55"/>
      <c r="Y46" s="55"/>
      <c r="Z46" s="117"/>
      <c r="AB46" s="42">
        <v>4942571</v>
      </c>
    </row>
    <row r="47" spans="1:28" ht="15" thickBot="1" x14ac:dyDescent="0.35">
      <c r="A47" s="60" t="s">
        <v>179</v>
      </c>
      <c r="B47" s="55">
        <v>3500000</v>
      </c>
      <c r="C47" s="55">
        <v>-4032726</v>
      </c>
      <c r="D47" s="55">
        <v>532726</v>
      </c>
      <c r="E47" s="55">
        <v>3300000</v>
      </c>
      <c r="F47" s="117">
        <f>SUM(B47:E47)</f>
        <v>3300000</v>
      </c>
      <c r="G47" s="55"/>
      <c r="H47" s="55"/>
      <c r="I47" s="55"/>
      <c r="J47" s="55"/>
      <c r="K47" s="117"/>
      <c r="L47" s="55"/>
      <c r="M47" s="55"/>
      <c r="N47" s="55"/>
      <c r="O47" s="55"/>
      <c r="P47" s="117"/>
      <c r="Q47" s="55"/>
      <c r="R47" s="55"/>
      <c r="S47" s="55"/>
      <c r="T47" s="55"/>
      <c r="U47" s="117"/>
      <c r="V47" s="55"/>
      <c r="W47" s="55"/>
      <c r="X47" s="55"/>
      <c r="Y47" s="55"/>
      <c r="Z47" s="117"/>
      <c r="AB47" s="42">
        <v>16500000</v>
      </c>
    </row>
    <row r="48" spans="1:28" x14ac:dyDescent="0.3">
      <c r="A48" s="62" t="s">
        <v>180</v>
      </c>
      <c r="B48" s="59">
        <f t="shared" ref="B48:Z48" si="7">SUM(B41:B47)</f>
        <v>-6541553</v>
      </c>
      <c r="C48" s="59">
        <f t="shared" si="7"/>
        <v>-22454785</v>
      </c>
      <c r="D48" s="59">
        <f t="shared" si="7"/>
        <v>-16714607</v>
      </c>
      <c r="E48" s="59">
        <f t="shared" si="7"/>
        <v>-18663795</v>
      </c>
      <c r="F48" s="118">
        <f t="shared" si="7"/>
        <v>-64374740</v>
      </c>
      <c r="G48" s="59">
        <f t="shared" si="7"/>
        <v>-29707526</v>
      </c>
      <c r="H48" s="59">
        <f t="shared" si="7"/>
        <v>2240789</v>
      </c>
      <c r="I48" s="59">
        <f t="shared" si="7"/>
        <v>-9668118</v>
      </c>
      <c r="J48" s="59">
        <f t="shared" si="7"/>
        <v>-49968298</v>
      </c>
      <c r="K48" s="118">
        <f t="shared" si="7"/>
        <v>-87103153</v>
      </c>
      <c r="L48" s="59">
        <f t="shared" si="7"/>
        <v>-34117588</v>
      </c>
      <c r="M48" s="59">
        <f t="shared" si="7"/>
        <v>-38333340</v>
      </c>
      <c r="N48" s="59">
        <f t="shared" si="7"/>
        <v>-66671721</v>
      </c>
      <c r="O48" s="59">
        <f t="shared" si="7"/>
        <v>-95938875</v>
      </c>
      <c r="P48" s="118">
        <f t="shared" si="7"/>
        <v>-235061524</v>
      </c>
      <c r="Q48" s="59">
        <f t="shared" si="7"/>
        <v>-220807211</v>
      </c>
      <c r="R48" s="59">
        <f t="shared" si="7"/>
        <v>246000664</v>
      </c>
      <c r="S48" s="59">
        <f t="shared" si="7"/>
        <v>159348615</v>
      </c>
      <c r="T48" s="59">
        <f t="shared" si="7"/>
        <v>-321869182</v>
      </c>
      <c r="U48" s="118">
        <f t="shared" si="7"/>
        <v>-137327114</v>
      </c>
      <c r="V48" s="59">
        <f t="shared" si="7"/>
        <v>-182240607</v>
      </c>
      <c r="W48" s="59">
        <f t="shared" si="7"/>
        <v>-75243045</v>
      </c>
      <c r="X48" s="59">
        <f t="shared" si="7"/>
        <v>-98482588</v>
      </c>
      <c r="Y48" s="59">
        <f t="shared" si="7"/>
        <v>-110795584</v>
      </c>
      <c r="Z48" s="118">
        <f t="shared" si="7"/>
        <v>-466761824</v>
      </c>
      <c r="AB48" s="42">
        <f>SUM(AB41:AB47)</f>
        <v>177182067</v>
      </c>
    </row>
    <row r="49" spans="1:28" x14ac:dyDescent="0.3">
      <c r="A49" s="56" t="s">
        <v>181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8" x14ac:dyDescent="0.3">
      <c r="A50" s="60" t="s">
        <v>182</v>
      </c>
      <c r="B50" s="55">
        <v>-4842794</v>
      </c>
      <c r="C50" s="55">
        <v>2953019</v>
      </c>
      <c r="D50" s="55">
        <v>-65257</v>
      </c>
      <c r="E50" s="55">
        <v>-4753327</v>
      </c>
      <c r="F50" s="117">
        <f>SUM(B50:E50)</f>
        <v>-6708359</v>
      </c>
      <c r="G50" s="55">
        <v>-99304</v>
      </c>
      <c r="H50" s="55">
        <v>-5627381</v>
      </c>
      <c r="I50" s="55">
        <v>-5640912</v>
      </c>
      <c r="J50" s="55">
        <v>-10009376</v>
      </c>
      <c r="K50" s="117">
        <v>-21376973</v>
      </c>
      <c r="L50" s="55">
        <v>-9275829</v>
      </c>
      <c r="M50" s="55">
        <v>-9534460</v>
      </c>
      <c r="N50" s="55">
        <v>-9458864</v>
      </c>
      <c r="O50" s="55">
        <v>-9475379</v>
      </c>
      <c r="P50" s="117">
        <v>-37744532</v>
      </c>
      <c r="Q50" s="55">
        <v>-9473877</v>
      </c>
      <c r="R50" s="55">
        <v>0</v>
      </c>
      <c r="S50" s="55">
        <v>-820362</v>
      </c>
      <c r="T50" s="55">
        <v>-181390</v>
      </c>
      <c r="U50" s="117">
        <v>-10475629</v>
      </c>
      <c r="V50" s="55">
        <v>-342476</v>
      </c>
      <c r="W50" s="55">
        <v>0</v>
      </c>
      <c r="X50" s="55">
        <v>-1529</v>
      </c>
      <c r="Y50" s="55">
        <v>0</v>
      </c>
      <c r="Z50" s="117">
        <v>-344005</v>
      </c>
      <c r="AB50" s="42">
        <v>-18021421</v>
      </c>
    </row>
    <row r="51" spans="1:28" x14ac:dyDescent="0.3">
      <c r="A51" s="60" t="s">
        <v>183</v>
      </c>
      <c r="B51" s="55">
        <v>-1675093</v>
      </c>
      <c r="C51" s="55">
        <v>-3357259</v>
      </c>
      <c r="D51" s="55">
        <v>-4737168</v>
      </c>
      <c r="E51" s="55">
        <v>-331208</v>
      </c>
      <c r="F51" s="117">
        <f>SUM(B51:E51)</f>
        <v>-10100728</v>
      </c>
      <c r="G51" s="55">
        <v>-2128485</v>
      </c>
      <c r="H51" s="55">
        <v>-353562</v>
      </c>
      <c r="I51" s="55">
        <v>-5706552</v>
      </c>
      <c r="J51" s="55">
        <v>-6954144</v>
      </c>
      <c r="K51" s="117">
        <v>-15142743</v>
      </c>
      <c r="L51" s="55">
        <v>-3601442</v>
      </c>
      <c r="M51" s="55">
        <v>-5169613</v>
      </c>
      <c r="N51" s="55">
        <v>-6761488</v>
      </c>
      <c r="O51" s="55">
        <v>-5428582</v>
      </c>
      <c r="P51" s="117">
        <v>-20961125</v>
      </c>
      <c r="Q51" s="55">
        <v>-5916483</v>
      </c>
      <c r="R51" s="55">
        <v>-9805061</v>
      </c>
      <c r="S51" s="55">
        <v>4720339</v>
      </c>
      <c r="T51" s="55">
        <v>-13306742</v>
      </c>
      <c r="U51" s="117">
        <v>-24307947</v>
      </c>
      <c r="V51" s="55">
        <v>-10175517</v>
      </c>
      <c r="W51" s="55">
        <v>-10449542</v>
      </c>
      <c r="X51" s="55">
        <v>-13925600</v>
      </c>
      <c r="Y51" s="55">
        <v>-9702301</v>
      </c>
      <c r="Z51" s="117">
        <v>-44252960</v>
      </c>
      <c r="AB51" s="42">
        <v>2283156</v>
      </c>
    </row>
    <row r="52" spans="1:28" x14ac:dyDescent="0.3">
      <c r="A52" s="60" t="s">
        <v>184</v>
      </c>
      <c r="B52" s="55"/>
      <c r="C52" s="55"/>
      <c r="D52" s="55"/>
      <c r="E52" s="55"/>
      <c r="F52" s="117"/>
      <c r="G52" s="55"/>
      <c r="H52" s="55"/>
      <c r="I52" s="55"/>
      <c r="J52" s="55"/>
      <c r="K52" s="117"/>
      <c r="L52" s="55">
        <v>-846785</v>
      </c>
      <c r="M52" s="55">
        <v>846785</v>
      </c>
      <c r="N52" s="55"/>
      <c r="O52" s="55"/>
      <c r="P52" s="117"/>
      <c r="Q52" s="55"/>
      <c r="R52" s="55"/>
      <c r="S52" s="55"/>
      <c r="T52" s="55"/>
      <c r="U52" s="117"/>
      <c r="V52" s="55"/>
      <c r="W52" s="55"/>
      <c r="X52" s="55"/>
      <c r="Y52" s="55"/>
      <c r="Z52" s="117"/>
    </row>
    <row r="53" spans="1:28" x14ac:dyDescent="0.3">
      <c r="A53" s="60" t="s">
        <v>185</v>
      </c>
      <c r="B53" s="55"/>
      <c r="C53" s="55"/>
      <c r="D53" s="55"/>
      <c r="E53" s="55"/>
      <c r="F53" s="117"/>
      <c r="G53" s="55"/>
      <c r="H53" s="55"/>
      <c r="I53" s="55"/>
      <c r="J53" s="55"/>
      <c r="K53" s="117"/>
      <c r="L53" s="55"/>
      <c r="M53" s="55">
        <v>-25388998</v>
      </c>
      <c r="N53" s="55">
        <v>0</v>
      </c>
      <c r="O53" s="55">
        <v>0</v>
      </c>
      <c r="P53" s="117">
        <v>-25388998</v>
      </c>
      <c r="Q53" s="55"/>
      <c r="R53" s="55"/>
      <c r="S53" s="55"/>
      <c r="T53" s="55"/>
      <c r="U53" s="117"/>
      <c r="V53" s="55"/>
      <c r="W53" s="55"/>
      <c r="X53" s="55"/>
      <c r="Y53" s="55"/>
      <c r="Z53" s="117"/>
    </row>
    <row r="54" spans="1:28" x14ac:dyDescent="0.3">
      <c r="A54" s="60" t="s">
        <v>186</v>
      </c>
      <c r="B54" s="55"/>
      <c r="C54" s="55">
        <v>148752760</v>
      </c>
      <c r="D54" s="55">
        <v>15817129</v>
      </c>
      <c r="E54" s="55">
        <v>-57800638</v>
      </c>
      <c r="F54" s="117">
        <f>SUM(B54:E54)</f>
        <v>106769251</v>
      </c>
      <c r="G54" s="55">
        <v>81864493</v>
      </c>
      <c r="H54" s="55">
        <v>152871156</v>
      </c>
      <c r="I54" s="55">
        <v>48652562</v>
      </c>
      <c r="J54" s="55">
        <v>139934283</v>
      </c>
      <c r="K54" s="117">
        <v>423322494</v>
      </c>
      <c r="L54" s="55">
        <v>148029078</v>
      </c>
      <c r="M54" s="55">
        <v>136029551</v>
      </c>
      <c r="N54" s="55">
        <v>8474773</v>
      </c>
      <c r="O54" s="55">
        <v>-152321276</v>
      </c>
      <c r="P54" s="117">
        <v>140212126</v>
      </c>
      <c r="Q54" s="55">
        <v>-188950920</v>
      </c>
      <c r="R54" s="55">
        <v>45887949</v>
      </c>
      <c r="S54" s="55">
        <v>145991583</v>
      </c>
      <c r="T54" s="55">
        <v>-471929548</v>
      </c>
      <c r="U54" s="117">
        <v>-469000936</v>
      </c>
      <c r="V54" s="55">
        <v>483590732</v>
      </c>
      <c r="W54" s="55">
        <v>482125464</v>
      </c>
      <c r="X54" s="55">
        <v>-298937833</v>
      </c>
      <c r="Y54" s="55">
        <v>2272455</v>
      </c>
      <c r="Z54" s="117">
        <v>669050818</v>
      </c>
      <c r="AB54" s="42">
        <v>-37684668</v>
      </c>
    </row>
    <row r="55" spans="1:28" x14ac:dyDescent="0.3">
      <c r="A55" s="60" t="s">
        <v>187</v>
      </c>
      <c r="B55" s="55"/>
      <c r="C55" s="55"/>
      <c r="D55" s="55"/>
      <c r="E55" s="55"/>
      <c r="F55" s="117"/>
      <c r="G55" s="55"/>
      <c r="H55" s="55"/>
      <c r="I55" s="55"/>
      <c r="J55" s="55"/>
      <c r="K55" s="117"/>
      <c r="L55" s="55">
        <v>30000000</v>
      </c>
      <c r="M55" s="55">
        <v>-30000000</v>
      </c>
      <c r="N55" s="55"/>
      <c r="O55" s="55">
        <v>30000000</v>
      </c>
      <c r="P55" s="117">
        <v>30000000</v>
      </c>
      <c r="Q55" s="55"/>
      <c r="R55" s="55"/>
      <c r="S55" s="55"/>
      <c r="T55" s="55"/>
      <c r="U55" s="117"/>
      <c r="V55" s="55"/>
      <c r="W55" s="55"/>
      <c r="X55" s="55"/>
      <c r="Y55" s="55"/>
      <c r="Z55" s="117"/>
      <c r="AB55" s="42">
        <v>-16957202</v>
      </c>
    </row>
    <row r="56" spans="1:28" ht="15" thickBot="1" x14ac:dyDescent="0.35">
      <c r="A56" s="60" t="s">
        <v>188</v>
      </c>
      <c r="B56" s="55"/>
      <c r="C56" s="55"/>
      <c r="D56" s="55"/>
      <c r="E56" s="55">
        <v>30431181</v>
      </c>
      <c r="F56" s="117">
        <f t="shared" ref="F56:F61" si="8">SUM(B56:E56)</f>
        <v>30431181</v>
      </c>
      <c r="G56" s="55"/>
      <c r="H56" s="55"/>
      <c r="I56" s="55"/>
      <c r="J56" s="55">
        <v>-104213713</v>
      </c>
      <c r="K56" s="117">
        <v>-104213713</v>
      </c>
      <c r="L56" s="55"/>
      <c r="M56" s="55"/>
      <c r="N56" s="55"/>
      <c r="O56" s="55"/>
      <c r="P56" s="117"/>
      <c r="Q56" s="55"/>
      <c r="R56" s="55"/>
      <c r="S56" s="55"/>
      <c r="T56" s="55"/>
      <c r="U56" s="117"/>
      <c r="V56" s="55"/>
      <c r="W56" s="55"/>
      <c r="X56" s="55"/>
      <c r="Y56" s="55"/>
      <c r="Z56" s="117"/>
    </row>
    <row r="57" spans="1:28" ht="15" thickBot="1" x14ac:dyDescent="0.35">
      <c r="A57" s="62" t="s">
        <v>189</v>
      </c>
      <c r="B57" s="59">
        <f>SUM(B50:B56)</f>
        <v>-6517887</v>
      </c>
      <c r="C57" s="59">
        <f>SUM(C50:C56)</f>
        <v>148348520</v>
      </c>
      <c r="D57" s="59">
        <f>SUM(D50:D56)</f>
        <v>11014704</v>
      </c>
      <c r="E57" s="59">
        <f>SUM(E50:E56)</f>
        <v>-32453992</v>
      </c>
      <c r="F57" s="118">
        <f t="shared" si="8"/>
        <v>120391345</v>
      </c>
      <c r="G57" s="59">
        <f t="shared" ref="G57:Z57" si="9">SUM(G50:G56)</f>
        <v>79636704</v>
      </c>
      <c r="H57" s="59">
        <f t="shared" si="9"/>
        <v>146890213</v>
      </c>
      <c r="I57" s="59">
        <f t="shared" si="9"/>
        <v>37305098</v>
      </c>
      <c r="J57" s="59">
        <f t="shared" si="9"/>
        <v>18757050</v>
      </c>
      <c r="K57" s="118">
        <f t="shared" si="9"/>
        <v>282589065</v>
      </c>
      <c r="L57" s="59">
        <f t="shared" si="9"/>
        <v>164305022</v>
      </c>
      <c r="M57" s="59">
        <f t="shared" si="9"/>
        <v>66783265</v>
      </c>
      <c r="N57" s="59">
        <f t="shared" si="9"/>
        <v>-7745579</v>
      </c>
      <c r="O57" s="59">
        <f t="shared" si="9"/>
        <v>-137225237</v>
      </c>
      <c r="P57" s="118">
        <f t="shared" si="9"/>
        <v>86117471</v>
      </c>
      <c r="Q57" s="59">
        <f t="shared" si="9"/>
        <v>-204341280</v>
      </c>
      <c r="R57" s="59">
        <f t="shared" si="9"/>
        <v>36082888</v>
      </c>
      <c r="S57" s="59">
        <f t="shared" si="9"/>
        <v>149891560</v>
      </c>
      <c r="T57" s="59">
        <f t="shared" si="9"/>
        <v>-485417680</v>
      </c>
      <c r="U57" s="118">
        <f t="shared" si="9"/>
        <v>-503784512</v>
      </c>
      <c r="V57" s="59">
        <f t="shared" si="9"/>
        <v>473072739</v>
      </c>
      <c r="W57" s="59">
        <f t="shared" si="9"/>
        <v>471675922</v>
      </c>
      <c r="X57" s="59">
        <f t="shared" si="9"/>
        <v>-312864962</v>
      </c>
      <c r="Y57" s="59">
        <f t="shared" si="9"/>
        <v>-7429846</v>
      </c>
      <c r="Z57" s="118">
        <f t="shared" si="9"/>
        <v>624453853</v>
      </c>
      <c r="AB57" s="42">
        <f>SUM(AB50:AB56)</f>
        <v>-70380135</v>
      </c>
    </row>
    <row r="58" spans="1:28" x14ac:dyDescent="0.3">
      <c r="A58" s="62" t="s">
        <v>190</v>
      </c>
      <c r="B58" s="59">
        <f>B39+B48+B57</f>
        <v>8466067</v>
      </c>
      <c r="C58" s="59">
        <f>C39+C48+C57</f>
        <v>27858301</v>
      </c>
      <c r="D58" s="59">
        <f>D39+D48+D57</f>
        <v>-10339174</v>
      </c>
      <c r="E58" s="59">
        <f>E39+E48+E57</f>
        <v>25302020</v>
      </c>
      <c r="F58" s="118">
        <f t="shared" si="8"/>
        <v>51287214</v>
      </c>
      <c r="G58" s="59">
        <f t="shared" ref="G58:Z58" si="10">G39+G48+G57</f>
        <v>118915557</v>
      </c>
      <c r="H58" s="59">
        <f t="shared" si="10"/>
        <v>-11031312</v>
      </c>
      <c r="I58" s="59">
        <f t="shared" si="10"/>
        <v>167364858</v>
      </c>
      <c r="J58" s="59">
        <f t="shared" si="10"/>
        <v>45598170</v>
      </c>
      <c r="K58" s="118">
        <f t="shared" si="10"/>
        <v>320847273</v>
      </c>
      <c r="L58" s="59">
        <f t="shared" si="10"/>
        <v>-139995560</v>
      </c>
      <c r="M58" s="59">
        <f t="shared" si="10"/>
        <v>-46057924</v>
      </c>
      <c r="N58" s="59">
        <f t="shared" si="10"/>
        <v>71387396</v>
      </c>
      <c r="O58" s="59">
        <f t="shared" si="10"/>
        <v>103818858</v>
      </c>
      <c r="P58" s="118">
        <f t="shared" si="10"/>
        <v>-11694015</v>
      </c>
      <c r="Q58" s="59">
        <f t="shared" si="10"/>
        <v>-39693788</v>
      </c>
      <c r="R58" s="59">
        <f t="shared" si="10"/>
        <v>74518344</v>
      </c>
      <c r="S58" s="59">
        <f t="shared" si="10"/>
        <v>563353276</v>
      </c>
      <c r="T58" s="59">
        <f t="shared" si="10"/>
        <v>-702213631</v>
      </c>
      <c r="U58" s="118">
        <f t="shared" si="10"/>
        <v>-104035799</v>
      </c>
      <c r="V58" s="59">
        <f t="shared" si="10"/>
        <v>1804966</v>
      </c>
      <c r="W58" s="59">
        <f t="shared" si="10"/>
        <v>-102354</v>
      </c>
      <c r="X58" s="59">
        <f t="shared" si="10"/>
        <v>-3269524</v>
      </c>
      <c r="Y58" s="59">
        <f t="shared" si="10"/>
        <v>-36716657</v>
      </c>
      <c r="Z58" s="118">
        <f t="shared" si="10"/>
        <v>-38283569</v>
      </c>
      <c r="AB58" s="42">
        <f>AB39+AB48+AB57</f>
        <v>459456186</v>
      </c>
    </row>
    <row r="59" spans="1:28" x14ac:dyDescent="0.3">
      <c r="A59" s="60" t="s">
        <v>191</v>
      </c>
      <c r="B59" s="55">
        <v>-597732765</v>
      </c>
      <c r="C59" s="55">
        <v>119446611</v>
      </c>
      <c r="D59" s="55">
        <v>119446611</v>
      </c>
      <c r="E59" s="55">
        <v>119446611</v>
      </c>
      <c r="F59" s="117">
        <f t="shared" si="8"/>
        <v>-239392932</v>
      </c>
      <c r="G59" s="55">
        <v>132116247</v>
      </c>
      <c r="H59" s="55">
        <v>132116247</v>
      </c>
      <c r="I59" s="55">
        <v>132116247</v>
      </c>
      <c r="J59" s="55">
        <v>132116247</v>
      </c>
      <c r="K59" s="117">
        <v>132116247</v>
      </c>
      <c r="L59" s="55">
        <v>467963520</v>
      </c>
      <c r="M59" s="55">
        <v>467963520</v>
      </c>
      <c r="N59" s="55">
        <v>383008248</v>
      </c>
      <c r="O59" s="55">
        <v>467963520</v>
      </c>
      <c r="P59" s="117">
        <v>467963520</v>
      </c>
      <c r="Q59" s="55">
        <v>456269505</v>
      </c>
      <c r="R59" s="55">
        <v>456269505</v>
      </c>
      <c r="S59" s="55">
        <v>456269505</v>
      </c>
      <c r="T59" s="55">
        <v>456269505</v>
      </c>
      <c r="U59" s="117">
        <v>456269505</v>
      </c>
      <c r="V59" s="55">
        <v>352233706</v>
      </c>
      <c r="W59" s="55">
        <v>352233706</v>
      </c>
      <c r="X59" s="55">
        <v>352233706</v>
      </c>
      <c r="Y59" s="55">
        <v>352233706</v>
      </c>
      <c r="Z59" s="117">
        <v>352233706</v>
      </c>
      <c r="AB59" s="42">
        <v>-1057188951</v>
      </c>
    </row>
    <row r="60" spans="1:28" x14ac:dyDescent="0.3">
      <c r="A60" s="60" t="s">
        <v>192</v>
      </c>
      <c r="B60" s="55"/>
      <c r="C60" s="55"/>
      <c r="D60" s="55"/>
      <c r="E60" s="55">
        <v>-45000000</v>
      </c>
      <c r="F60" s="117">
        <f t="shared" si="8"/>
        <v>-45000000</v>
      </c>
      <c r="G60" s="55"/>
      <c r="H60" s="55">
        <v>-30000000</v>
      </c>
      <c r="I60" s="55">
        <v>-27000000</v>
      </c>
      <c r="J60" s="55">
        <v>15000000</v>
      </c>
      <c r="K60" s="117">
        <v>15000000</v>
      </c>
      <c r="L60" s="55">
        <v>30000000</v>
      </c>
      <c r="M60" s="55">
        <v>30000000</v>
      </c>
      <c r="N60" s="55">
        <v>30000000</v>
      </c>
      <c r="O60" s="55"/>
      <c r="P60" s="117"/>
      <c r="Q60" s="55">
        <v>-472200</v>
      </c>
      <c r="R60" s="55"/>
      <c r="S60" s="55"/>
      <c r="T60" s="55"/>
      <c r="U60" s="117"/>
      <c r="V60" s="55">
        <v>-505800</v>
      </c>
      <c r="W60" s="55">
        <v>-496000</v>
      </c>
      <c r="X60" s="55">
        <v>-478700</v>
      </c>
      <c r="Y60" s="55">
        <v>-1697640</v>
      </c>
      <c r="Z60" s="117">
        <v>-1697640</v>
      </c>
    </row>
    <row r="61" spans="1:28" x14ac:dyDescent="0.3">
      <c r="A61" s="60" t="s">
        <v>193</v>
      </c>
      <c r="B61" s="55">
        <f>B59+B58+B60</f>
        <v>-589266698</v>
      </c>
      <c r="C61" s="55">
        <f>C59+C58+C60</f>
        <v>147304912</v>
      </c>
      <c r="D61" s="55">
        <f>D59+D58+D60</f>
        <v>109107437</v>
      </c>
      <c r="E61" s="55">
        <f>E59+E58+E60</f>
        <v>99748631</v>
      </c>
      <c r="F61" s="117">
        <f t="shared" si="8"/>
        <v>-233105718</v>
      </c>
      <c r="G61" s="55">
        <f t="shared" ref="G61:Z61" si="11">G59+G58+G60</f>
        <v>251031804</v>
      </c>
      <c r="H61" s="55">
        <f t="shared" si="11"/>
        <v>91084935</v>
      </c>
      <c r="I61" s="55">
        <f t="shared" si="11"/>
        <v>272481105</v>
      </c>
      <c r="J61" s="55">
        <f t="shared" si="11"/>
        <v>192714417</v>
      </c>
      <c r="K61" s="117">
        <f t="shared" si="11"/>
        <v>467963520</v>
      </c>
      <c r="L61" s="55">
        <f t="shared" si="11"/>
        <v>357967960</v>
      </c>
      <c r="M61" s="55">
        <f t="shared" si="11"/>
        <v>451905596</v>
      </c>
      <c r="N61" s="55">
        <f t="shared" si="11"/>
        <v>484395644</v>
      </c>
      <c r="O61" s="55">
        <f t="shared" si="11"/>
        <v>571782378</v>
      </c>
      <c r="P61" s="117">
        <f t="shared" si="11"/>
        <v>456269505</v>
      </c>
      <c r="Q61" s="55">
        <f t="shared" si="11"/>
        <v>416103517</v>
      </c>
      <c r="R61" s="55">
        <f t="shared" si="11"/>
        <v>530787849</v>
      </c>
      <c r="S61" s="55">
        <f t="shared" si="11"/>
        <v>1019622781</v>
      </c>
      <c r="T61" s="55">
        <f t="shared" si="11"/>
        <v>-245944126</v>
      </c>
      <c r="U61" s="117">
        <f t="shared" si="11"/>
        <v>352233706</v>
      </c>
      <c r="V61" s="55">
        <f t="shared" si="11"/>
        <v>353532872</v>
      </c>
      <c r="W61" s="55">
        <f t="shared" si="11"/>
        <v>351635352</v>
      </c>
      <c r="X61" s="55">
        <f t="shared" si="11"/>
        <v>348485482</v>
      </c>
      <c r="Y61" s="55">
        <f t="shared" si="11"/>
        <v>313819409</v>
      </c>
      <c r="Z61" s="117">
        <f t="shared" si="11"/>
        <v>312252497</v>
      </c>
      <c r="AB61" s="42">
        <f>AB59+AB58+AB60</f>
        <v>-597732765</v>
      </c>
    </row>
    <row r="62" spans="1:28" x14ac:dyDescent="0.3">
      <c r="B62" s="63"/>
      <c r="C62" s="63"/>
      <c r="D62" s="63"/>
      <c r="E62" s="63"/>
      <c r="F62" s="63"/>
    </row>
  </sheetData>
  <mergeCells count="6">
    <mergeCell ref="A1:Z1"/>
    <mergeCell ref="B2:F2"/>
    <mergeCell ref="G2:K2"/>
    <mergeCell ref="L2:P2"/>
    <mergeCell ref="Q2:U2"/>
    <mergeCell ref="V2:Z2"/>
  </mergeCells>
  <pageMargins left="0.7" right="0.7" top="0.75" bottom="0.75" header="0.3" footer="0.3"/>
  <ignoredErrors>
    <ignoredError sqref="F33 F57:F58 F61 F26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8"/>
  <sheetViews>
    <sheetView showGridLines="0" zoomScale="50" zoomScaleNormal="63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G33" sqref="G33"/>
    </sheetView>
  </sheetViews>
  <sheetFormatPr defaultColWidth="8.6640625" defaultRowHeight="14.4" outlineLevelRow="1" x14ac:dyDescent="0.3"/>
  <cols>
    <col min="1" max="1" width="72.44140625" bestFit="1" customWidth="1"/>
    <col min="2" max="2" width="28" customWidth="1"/>
    <col min="3" max="6" width="13" customWidth="1"/>
    <col min="7" max="7" width="14" bestFit="1" customWidth="1"/>
    <col min="8" max="10" width="13" customWidth="1"/>
    <col min="11" max="11" width="14" bestFit="1" customWidth="1"/>
    <col min="12" max="12" width="14.77734375" bestFit="1" customWidth="1"/>
    <col min="13" max="14" width="13" customWidth="1"/>
    <col min="15" max="15" width="14" bestFit="1" customWidth="1"/>
    <col min="16" max="16" width="13" customWidth="1"/>
    <col min="17" max="17" width="14" bestFit="1" customWidth="1"/>
    <col min="18" max="27" width="13" customWidth="1"/>
    <col min="28" max="28" width="11" hidden="1" customWidth="1"/>
  </cols>
  <sheetData>
    <row r="1" spans="1:28" ht="30" customHeight="1" x14ac:dyDescent="0.3">
      <c r="A1" s="312" t="s">
        <v>99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4"/>
    </row>
    <row r="2" spans="1:28" ht="21.75" customHeight="1" x14ac:dyDescent="0.3">
      <c r="A2" s="34"/>
      <c r="B2" s="315" t="s">
        <v>6</v>
      </c>
      <c r="C2" s="316"/>
      <c r="D2" s="316"/>
      <c r="E2" s="316"/>
      <c r="F2" s="317"/>
      <c r="G2" s="315" t="s">
        <v>7</v>
      </c>
      <c r="H2" s="316"/>
      <c r="I2" s="316"/>
      <c r="J2" s="316"/>
      <c r="K2" s="317"/>
      <c r="L2" s="315" t="s">
        <v>8</v>
      </c>
      <c r="M2" s="316"/>
      <c r="N2" s="316"/>
      <c r="O2" s="316"/>
      <c r="P2" s="317"/>
      <c r="Q2" s="315" t="s">
        <v>9</v>
      </c>
      <c r="R2" s="316"/>
      <c r="S2" s="316"/>
      <c r="T2" s="316"/>
      <c r="U2" s="317"/>
      <c r="V2" s="315" t="s">
        <v>10</v>
      </c>
      <c r="W2" s="316"/>
      <c r="X2" s="316"/>
      <c r="Y2" s="316"/>
      <c r="Z2" s="318"/>
      <c r="AB2">
        <v>2020</v>
      </c>
    </row>
    <row r="3" spans="1:28" ht="19.5" customHeight="1" x14ac:dyDescent="0.3">
      <c r="A3" s="35" t="s">
        <v>0</v>
      </c>
      <c r="B3" s="24" t="s">
        <v>13</v>
      </c>
      <c r="C3" s="24" t="s">
        <v>14</v>
      </c>
      <c r="D3" s="24" t="s">
        <v>15</v>
      </c>
      <c r="E3" s="24" t="s">
        <v>16</v>
      </c>
      <c r="F3" s="25" t="s">
        <v>1</v>
      </c>
      <c r="G3" s="24" t="s">
        <v>17</v>
      </c>
      <c r="H3" s="24" t="s">
        <v>18</v>
      </c>
      <c r="I3" s="24" t="s">
        <v>19</v>
      </c>
      <c r="J3" s="24" t="s">
        <v>20</v>
      </c>
      <c r="K3" s="25" t="s">
        <v>2</v>
      </c>
      <c r="L3" s="24" t="s">
        <v>21</v>
      </c>
      <c r="M3" s="24" t="s">
        <v>22</v>
      </c>
      <c r="N3" s="24" t="s">
        <v>23</v>
      </c>
      <c r="O3" s="24" t="s">
        <v>24</v>
      </c>
      <c r="P3" s="25" t="s">
        <v>3</v>
      </c>
      <c r="Q3" s="24" t="s">
        <v>25</v>
      </c>
      <c r="R3" s="24" t="s">
        <v>26</v>
      </c>
      <c r="S3" s="24" t="s">
        <v>27</v>
      </c>
      <c r="T3" s="24" t="s">
        <v>28</v>
      </c>
      <c r="U3" s="25" t="s">
        <v>4</v>
      </c>
      <c r="V3" s="24" t="s">
        <v>29</v>
      </c>
      <c r="W3" s="24" t="s">
        <v>30</v>
      </c>
      <c r="X3" s="24" t="s">
        <v>31</v>
      </c>
      <c r="Y3" s="24" t="s">
        <v>32</v>
      </c>
      <c r="Z3" s="37" t="s">
        <v>5</v>
      </c>
      <c r="AB3" s="137" t="s">
        <v>215</v>
      </c>
    </row>
    <row r="4" spans="1:28" x14ac:dyDescent="0.3">
      <c r="A4" s="34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38"/>
    </row>
    <row r="5" spans="1:28" ht="21.75" customHeight="1" x14ac:dyDescent="0.3">
      <c r="A5" s="64" t="s">
        <v>100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8" ht="18" customHeight="1" x14ac:dyDescent="0.3">
      <c r="A6" s="36" t="s">
        <v>11</v>
      </c>
      <c r="B6" s="26">
        <f>'Income Statement'!C8/'Income Statement'!C6</f>
        <v>0.16617922082654923</v>
      </c>
      <c r="C6" s="26">
        <f>'Income Statement'!D8/'Income Statement'!D6</f>
        <v>0.17636084486280515</v>
      </c>
      <c r="D6" s="26">
        <f>'Income Statement'!E8/'Income Statement'!E6</f>
        <v>0.18320869939341064</v>
      </c>
      <c r="E6" s="26">
        <f>'Income Statement'!F8/'Income Statement'!F6</f>
        <v>0.20219845761747882</v>
      </c>
      <c r="F6" s="27">
        <f>'Income Statement'!G8/'Income Statement'!G6</f>
        <v>0.18290858035695748</v>
      </c>
      <c r="G6" s="26">
        <f>'Income Statement'!H8/'Income Statement'!H6</f>
        <v>0.20432134680488723</v>
      </c>
      <c r="H6" s="26">
        <f>'Income Statement'!I8/'Income Statement'!I6</f>
        <v>0.187674160389081</v>
      </c>
      <c r="I6" s="26">
        <f>'Income Statement'!J8/'Income Statement'!J6</f>
        <v>0.13258603376503014</v>
      </c>
      <c r="J6" s="26">
        <f>'Income Statement'!K8/'Income Statement'!K6</f>
        <v>0.207486033564346</v>
      </c>
      <c r="K6" s="27">
        <f>'Income Statement'!L8/'Income Statement'!L6</f>
        <v>0.18283598348290508</v>
      </c>
      <c r="L6" s="26">
        <f>'Income Statement'!M8/'Income Statement'!M6</f>
        <v>0.41132449174860036</v>
      </c>
      <c r="M6" s="26">
        <f>'Income Statement'!N8/'Income Statement'!N6</f>
        <v>0.37113540346299628</v>
      </c>
      <c r="N6" s="26">
        <f>'Income Statement'!O8/'Income Statement'!O6</f>
        <v>0.29470903183781566</v>
      </c>
      <c r="O6" s="26">
        <f>'Income Statement'!P8/'Income Statement'!P6</f>
        <v>0.27382171071460715</v>
      </c>
      <c r="P6" s="27">
        <f>'Income Statement'!Q8/'Income Statement'!Q6</f>
        <v>0.33742528318918658</v>
      </c>
      <c r="Q6" s="26">
        <f>'Income Statement'!R8/'Income Statement'!R6</f>
        <v>0.31376116431475676</v>
      </c>
      <c r="R6" s="26">
        <f>'Income Statement'!S8/'Income Statement'!S6</f>
        <v>0.29551089572587835</v>
      </c>
      <c r="S6" s="26">
        <f>'Income Statement'!T8/'Income Statement'!T6</f>
        <v>0.28123879712727762</v>
      </c>
      <c r="T6" s="26">
        <f>'Income Statement'!U8/'Income Statement'!U6</f>
        <v>0.24720345116023421</v>
      </c>
      <c r="U6" s="27">
        <f>'Income Statement'!V8/'Income Statement'!V6</f>
        <v>0.28221566940919551</v>
      </c>
      <c r="V6" s="26">
        <f>'Income Statement'!W8/'Income Statement'!W6</f>
        <v>0.2605287576044874</v>
      </c>
      <c r="W6" s="26">
        <f>'Income Statement'!X8/'Income Statement'!X6</f>
        <v>0.23914039158502892</v>
      </c>
      <c r="X6" s="26">
        <f>'Income Statement'!Y8/'Income Statement'!Y6</f>
        <v>0.23706971479350272</v>
      </c>
      <c r="Y6" s="26">
        <f>'Income Statement'!Z8/'Income Statement'!Z6</f>
        <v>0.18434704591619722</v>
      </c>
      <c r="Z6" s="39">
        <f>'Income Statement'!AA8/'Income Statement'!AA6</f>
        <v>0.22872482830915308</v>
      </c>
      <c r="AB6">
        <f>'Income Statement'!AB8/'Income Statement'!AB6</f>
        <v>0.11150667574400248</v>
      </c>
    </row>
    <row r="7" spans="1:28" ht="18" customHeight="1" x14ac:dyDescent="0.3">
      <c r="A7" s="36" t="s">
        <v>101</v>
      </c>
      <c r="B7" s="28">
        <f>'Income Statement'!C16/'Income Statement'!C6</f>
        <v>1.7268413695072184E-2</v>
      </c>
      <c r="C7" s="28">
        <f>'Income Statement'!D16/'Income Statement'!D6</f>
        <v>4.7995622529213586E-3</v>
      </c>
      <c r="D7" s="28">
        <f>'Income Statement'!E16/'Income Statement'!E6</f>
        <v>1.3651111395802398E-2</v>
      </c>
      <c r="E7" s="28">
        <f>'Income Statement'!F16/'Income Statement'!F6</f>
        <v>3.7511523357215172E-2</v>
      </c>
      <c r="F7" s="27">
        <f>'Income Statement'!G16/'Income Statement'!G6</f>
        <v>1.8899622653233753E-2</v>
      </c>
      <c r="G7" s="28">
        <f>'Income Statement'!H16/'Income Statement'!H6</f>
        <v>4.1024035365292318E-2</v>
      </c>
      <c r="H7" s="28">
        <f>'Income Statement'!I16/'Income Statement'!I6</f>
        <v>-5.1318377503434993E-2</v>
      </c>
      <c r="I7" s="28">
        <f>'Income Statement'!J16/'Income Statement'!J6</f>
        <v>-0.1104469244143941</v>
      </c>
      <c r="J7" s="28">
        <f>'Income Statement'!K16/'Income Statement'!K6</f>
        <v>7.3248668128595262E-2</v>
      </c>
      <c r="K7" s="27">
        <f>'Income Statement'!L16/'Income Statement'!L6</f>
        <v>-9.5634822992247005E-3</v>
      </c>
      <c r="L7" s="28">
        <f>'Income Statement'!M16/'Income Statement'!M6</f>
        <v>0.25179725125824193</v>
      </c>
      <c r="M7" s="28">
        <f>'Income Statement'!N16/'Income Statement'!N6</f>
        <v>0.23179437246034024</v>
      </c>
      <c r="N7" s="28">
        <f>'Income Statement'!O16/'Income Statement'!O6</f>
        <v>0.16349964374983136</v>
      </c>
      <c r="O7" s="28">
        <f>'Income Statement'!P16/'Income Statement'!P6</f>
        <v>0.1315437396603388</v>
      </c>
      <c r="P7" s="27">
        <f>'Income Statement'!Q16/'Income Statement'!Q6</f>
        <v>0.19431723912510415</v>
      </c>
      <c r="Q7" s="28">
        <f>'Income Statement'!R16/'Income Statement'!R6</f>
        <v>0.23161969419535333</v>
      </c>
      <c r="R7" s="28">
        <f>'Income Statement'!S16/'Income Statement'!S6</f>
        <v>0.19497605328907791</v>
      </c>
      <c r="S7" s="28">
        <f>'Income Statement'!T16/'Income Statement'!T6</f>
        <v>0.18202388115750626</v>
      </c>
      <c r="T7" s="28">
        <f>'Income Statement'!U16/'Income Statement'!U6</f>
        <v>9.9403781434344793E-2</v>
      </c>
      <c r="U7" s="27">
        <f>'Income Statement'!V16/'Income Statement'!V6</f>
        <v>0.17321375854825852</v>
      </c>
      <c r="V7" s="28">
        <f>'Income Statement'!W16/'Income Statement'!W6</f>
        <v>0.11680577622201782</v>
      </c>
      <c r="W7" s="28">
        <f>'Income Statement'!X16/'Income Statement'!X6</f>
        <v>9.215993392444996E-2</v>
      </c>
      <c r="X7" s="28">
        <f>'Income Statement'!Y16/'Income Statement'!Y6</f>
        <v>0.1168856195026171</v>
      </c>
      <c r="Y7" s="28">
        <f>'Income Statement'!Z16/'Income Statement'!Z6</f>
        <v>5.7204238986769643E-2</v>
      </c>
      <c r="Z7" s="39">
        <f>'Income Statement'!AA16/'Income Statement'!AA6</f>
        <v>9.5156258504568478E-2</v>
      </c>
      <c r="AB7">
        <f>'Income Statement'!AB16/'Income Statement'!AB6</f>
        <v>-6.444745054491742E-2</v>
      </c>
    </row>
    <row r="8" spans="1:28" ht="18" customHeight="1" x14ac:dyDescent="0.3">
      <c r="A8" s="36" t="s">
        <v>102</v>
      </c>
      <c r="B8" s="26">
        <f>'Income Statement'!C24/'Income Statement'!C6</f>
        <v>-2.357464402276618E-2</v>
      </c>
      <c r="C8" s="26">
        <f>'Income Statement'!D24/'Income Statement'!D6</f>
        <v>-6.6444244920251501E-3</v>
      </c>
      <c r="D8" s="26">
        <f>'Income Statement'!E24/'Income Statement'!E6</f>
        <v>-7.1664335817036339E-3</v>
      </c>
      <c r="E8" s="26">
        <f>'Income Statement'!F24/'Income Statement'!F6</f>
        <v>-1.1531035206890476E-4</v>
      </c>
      <c r="F8" s="27">
        <f>'Income Statement'!G24/'Income Statement'!G6</f>
        <v>-8.8322046025371987E-3</v>
      </c>
      <c r="G8" s="26">
        <f>'Income Statement'!H24/'Income Statement'!H6</f>
        <v>4.4709891752513484E-2</v>
      </c>
      <c r="H8" s="26">
        <f>'Income Statement'!I24/'Income Statement'!I6</f>
        <v>-7.9915978852404437E-2</v>
      </c>
      <c r="I8" s="26">
        <f>'Income Statement'!J24/'Income Statement'!J6</f>
        <v>-6.1823536723222801E-3</v>
      </c>
      <c r="J8" s="26">
        <f>'Income Statement'!K24/'Income Statement'!K6</f>
        <v>4.4701073950570755E-2</v>
      </c>
      <c r="K8" s="27">
        <f>'Income Statement'!L24/'Income Statement'!L6</f>
        <v>3.8882004668879732E-3</v>
      </c>
      <c r="L8" s="26">
        <f>'Income Statement'!M24/'Income Statement'!M6</f>
        <v>7.4426009484752018E-2</v>
      </c>
      <c r="M8" s="26">
        <f>'Income Statement'!N24/'Income Statement'!N6</f>
        <v>0.14741429190664437</v>
      </c>
      <c r="N8" s="26">
        <f>'Income Statement'!O24/'Income Statement'!O6</f>
        <v>7.1880160646704008E-2</v>
      </c>
      <c r="O8" s="26">
        <f>'Income Statement'!P24/'Income Statement'!P6</f>
        <v>9.824321503230872E-2</v>
      </c>
      <c r="P8" s="27">
        <f>'Income Statement'!Q24/'Income Statement'!Q6</f>
        <v>9.7651516094939536E-2</v>
      </c>
      <c r="Q8" s="26">
        <f>'Income Statement'!R24/'Income Statement'!R6</f>
        <v>0.35021550392243694</v>
      </c>
      <c r="R8" s="26">
        <f>'Income Statement'!S24/'Income Statement'!S6</f>
        <v>0.10416689381685032</v>
      </c>
      <c r="S8" s="26">
        <f>'Income Statement'!T24/'Income Statement'!T6</f>
        <v>0.12126601812716137</v>
      </c>
      <c r="T8" s="26">
        <f>'Income Statement'!U24/'Income Statement'!U6</f>
        <v>2.1563745573159782E-2</v>
      </c>
      <c r="U8" s="27">
        <f>'Income Statement'!V24/'Income Statement'!V6</f>
        <v>0.13836467692821172</v>
      </c>
      <c r="V8" s="26">
        <f>'Income Statement'!W24/'Income Statement'!W6</f>
        <v>5.4925786391695042E-2</v>
      </c>
      <c r="W8" s="26">
        <f>'Income Statement'!X24/'Income Statement'!X6</f>
        <v>2.9375179546930606E-2</v>
      </c>
      <c r="X8" s="26">
        <f>'Income Statement'!Y24/'Income Statement'!Y6</f>
        <v>4.753185863000868E-2</v>
      </c>
      <c r="Y8" s="26">
        <f>'Income Statement'!Z24/'Income Statement'!Z6</f>
        <v>3.8487950904843274E-3</v>
      </c>
      <c r="Z8" s="39">
        <f>'Income Statement'!AA24/'Income Statement'!AA6</f>
        <v>3.3227574986624618E-2</v>
      </c>
      <c r="AB8">
        <f>'Income Statement'!AB24/'Income Statement'!AB6</f>
        <v>-0.10821497608472157</v>
      </c>
    </row>
    <row r="9" spans="1:28" ht="18" customHeight="1" x14ac:dyDescent="0.3">
      <c r="A9" s="36" t="s">
        <v>103</v>
      </c>
      <c r="B9" s="28">
        <f>IFERROR(IF(OR('Income Statement'!D21=0,ABS('Income Statement'!D22/'Income Statement'!D21)&gt;2),NA(),'Income Statement'!D22/'Income Statement'!D21),NA())</f>
        <v>-1.8471521780575066</v>
      </c>
      <c r="C9" s="28">
        <f>IFERROR(IF(OR('Income Statement'!E21=0,ABS('Income Statement'!E22/'Income Statement'!E21)&gt;2),NA(),'Income Statement'!E22/'Income Statement'!E21),NA())</f>
        <v>-1.9001115725932469</v>
      </c>
      <c r="D9" s="28">
        <f>IFERROR(IF(OR('Income Statement'!F21=0,ABS('Income Statement'!F22/'Income Statement'!F21)&gt;2),NA(),'Income Statement'!F22/'Income Statement'!F21),NA())</f>
        <v>-1.0034650634349085</v>
      </c>
      <c r="E9" s="27">
        <f>IFERROR(IF(OR('Income Statement'!G21=0,ABS('Income Statement'!G22/'Income Statement'!G21)&gt;2),NA(),'Income Statement'!G22/'Income Statement'!G21),NA())</f>
        <v>-1.7091652700561126</v>
      </c>
      <c r="F9" s="28">
        <f>IFERROR(IF(OR('Income Statement'!H21=0,ABS('Income Statement'!H22/'Income Statement'!H21)&gt;2),NA(),'Income Statement'!H22/'Income Statement'!H21),NA())</f>
        <v>-0.36561143147194791</v>
      </c>
      <c r="G9" s="28">
        <f>IFERROR(IF(OR('Income Statement'!I21=0,ABS('Income Statement'!I22/'Income Statement'!I21)&gt;2),NA(),'Income Statement'!I22/'Income Statement'!I21),NA())</f>
        <v>0.45430674270877036</v>
      </c>
      <c r="H9" s="28">
        <f>IFERROR(IF(OR('Income Statement'!J21=0,ABS('Income Statement'!J22/'Income Statement'!J21)&gt;2),NA(),'Income Statement'!J22/'Income Statement'!J21),NA())</f>
        <v>-1.6490525025779192</v>
      </c>
      <c r="I9" s="28">
        <f>IFERROR(IF(OR('Income Statement'!K21=0,ABS('Income Statement'!K22/'Income Statement'!K21)&gt;2),NA(),'Income Statement'!K22/'Income Statement'!K21),NA())</f>
        <v>-0.2341956185889022</v>
      </c>
      <c r="J9" s="27">
        <f>IFERROR(IF(OR('Income Statement'!L21=0,ABS('Income Statement'!L22/'Income Statement'!L21)&gt;2),NA(),'Income Statement'!L22/'Income Statement'!L21),NA())</f>
        <v>-0.83341337147384664</v>
      </c>
      <c r="K9" s="28">
        <f>IFERROR(IF(OR('Income Statement'!M21=0,ABS('Income Statement'!M22/'Income Statement'!M21)&gt;2),NA(),'Income Statement'!M22/'Income Statement'!M21),NA())</f>
        <v>-0.48864644445878214</v>
      </c>
      <c r="L9" s="28">
        <f>IFERROR(IF(OR('Income Statement'!N21=0,ABS('Income Statement'!N22/'Income Statement'!N21)&gt;2),NA(),'Income Statement'!N22/'Income Statement'!N21),NA())</f>
        <v>-0.25601601816988978</v>
      </c>
      <c r="M9" s="28">
        <f>IFERROR(IF(OR('Income Statement'!O21=0,ABS('Income Statement'!O22/'Income Statement'!O21)&gt;2),NA(),'Income Statement'!O22/'Income Statement'!O21),NA())</f>
        <v>-0.27399621320771977</v>
      </c>
      <c r="N9" s="28">
        <f>IFERROR(IF(OR('Income Statement'!P21=0,ABS('Income Statement'!P22/'Income Statement'!P21)&gt;2),NA(),'Income Statement'!P22/'Income Statement'!P21),NA())</f>
        <v>-0.22237168301641119</v>
      </c>
      <c r="O9" s="27">
        <f>IFERROR(IF(OR('Income Statement'!Q21=0,ABS('Income Statement'!Q22/'Income Statement'!Q21)&gt;2),NA(),'Income Statement'!Q22/'Income Statement'!Q21),NA())</f>
        <v>-0.31157733054195536</v>
      </c>
      <c r="P9" s="28">
        <f>IFERROR(IF(OR('Income Statement'!R21=0,ABS('Income Statement'!R22/'Income Statement'!R21)&gt;2),NA(),'Income Statement'!R22/'Income Statement'!R21),NA())</f>
        <v>-0.19879476880360833</v>
      </c>
      <c r="Q9" s="28">
        <f>IFERROR(IF(OR('Income Statement'!S21=0,ABS('Income Statement'!S22/'Income Statement'!S21)&gt;2),NA(),'Income Statement'!S22/'Income Statement'!S21),NA())</f>
        <v>-0.2771682561244449</v>
      </c>
      <c r="R9" s="28">
        <f>IFERROR(IF(OR('Income Statement'!T21=0,ABS('Income Statement'!T22/'Income Statement'!T21)&gt;2),NA(),'Income Statement'!T22/'Income Statement'!T21),NA())</f>
        <v>-0.23423175868454599</v>
      </c>
      <c r="S9" s="28">
        <f>IFERROR(IF(OR('Income Statement'!U21=0,ABS('Income Statement'!U22/'Income Statement'!U21)&gt;2),NA(),'Income Statement'!U22/'Income Statement'!U21),NA())</f>
        <v>-0.60381072809387137</v>
      </c>
      <c r="T9" s="27">
        <f>IFERROR(IF(OR('Income Statement'!V21=0,ABS('Income Statement'!V22/'Income Statement'!V21)&gt;2),NA(),'Income Statement'!V22/'Income Statement'!V21),NA())</f>
        <v>-0.25367288196765775</v>
      </c>
      <c r="U9" s="28">
        <f>IFERROR(IF(OR('Income Statement'!W21=0,ABS('Income Statement'!W22/'Income Statement'!W21)&gt;2),NA(),'Income Statement'!W22/'Income Statement'!W21),NA())</f>
        <v>-0.37131406809380318</v>
      </c>
      <c r="V9" s="28">
        <f>IFERROR(IF(OR('Income Statement'!X21=0,ABS('Income Statement'!X22/'Income Statement'!X21)&gt;2),NA(),'Income Statement'!X22/'Income Statement'!X21),NA())</f>
        <v>-0.48889745979311244</v>
      </c>
      <c r="W9" s="28">
        <f>IFERROR(IF(OR('Income Statement'!Y21=0,ABS('Income Statement'!Y22/'Income Statement'!Y21)&gt;2),NA(),'Income Statement'!Y22/'Income Statement'!Y21),NA())</f>
        <v>-0.3428769413128061</v>
      </c>
      <c r="X9" s="28">
        <f>IFERROR(IF(OR('Income Statement'!Z21=0,ABS('Income Statement'!Z22/'Income Statement'!Z21)&gt;2),NA(),'Income Statement'!Z22/'Income Statement'!Z21),NA())</f>
        <v>-0.83736371741995774</v>
      </c>
      <c r="Y9" s="39">
        <f>IFERROR(IF(OR('Income Statement'!AA21=0,ABS('Income Statement'!AA22/'Income Statement'!AA21)&gt;2),NA(),'Income Statement'!AA22/'Income Statement'!AA21),NA())</f>
        <v>-0.43834894327113905</v>
      </c>
      <c r="AB9">
        <f>IFERROR(IF(OR('Income Statement'!AB21=0,ABS('Income Statement'!AB22/'Income Statement'!AB21)&gt;2),NA(),'Income Statement'!AB22/'Income Statement'!AB21),NA())</f>
        <v>0.12351216233949119</v>
      </c>
    </row>
    <row r="10" spans="1:28" ht="18" customHeight="1" x14ac:dyDescent="0.3">
      <c r="A10" s="36" t="s">
        <v>104</v>
      </c>
      <c r="B10" s="26">
        <f>'Income Statement'!C24/'Balance Sheet'!C19</f>
        <v>-4.217901508504646E-3</v>
      </c>
      <c r="C10" s="26">
        <f>'Income Statement'!D24/'Balance Sheet'!D19</f>
        <v>-1.2058748862673453E-3</v>
      </c>
      <c r="D10" s="26">
        <f>'Income Statement'!E24/'Balance Sheet'!E19</f>
        <v>-1.3899394608263786E-3</v>
      </c>
      <c r="E10" s="26">
        <f>'Income Statement'!F24/'Balance Sheet'!F19</f>
        <v>-2.4446238342980212E-5</v>
      </c>
      <c r="F10" s="27">
        <f>'Income Statement'!G24/'Balance Sheet'!F19</f>
        <v>-6.8136986348701903E-3</v>
      </c>
      <c r="G10" s="26">
        <f>'Income Statement'!H24/'Balance Sheet'!G19</f>
        <v>9.0245766172952352E-3</v>
      </c>
      <c r="H10" s="26">
        <f>'Income Statement'!I24/'Balance Sheet'!H19</f>
        <v>-1.4232858577854959E-2</v>
      </c>
      <c r="I10" s="26">
        <f>'Income Statement'!J24/'Balance Sheet'!I19</f>
        <v>-1.2399071325252201E-3</v>
      </c>
      <c r="J10" s="26">
        <f>'Income Statement'!K24/'Balance Sheet'!J19</f>
        <v>9.0475069678089479E-3</v>
      </c>
      <c r="K10" s="27">
        <f>'Income Statement'!L24/'Balance Sheet'!J19</f>
        <v>2.7109229223982231E-3</v>
      </c>
      <c r="L10" s="26">
        <f>'Income Statement'!M24/'Balance Sheet'!K19</f>
        <v>1.8056153259366103E-2</v>
      </c>
      <c r="M10" s="26">
        <f>'Income Statement'!N24/'Balance Sheet'!L19</f>
        <v>3.2512585985349327E-2</v>
      </c>
      <c r="N10" s="26">
        <f>'Income Statement'!O24/'Balance Sheet'!M19</f>
        <v>1.6211105640689418E-2</v>
      </c>
      <c r="O10" s="26">
        <f>'Income Statement'!P24/'Balance Sheet'!N19</f>
        <v>2.2024369803362656E-2</v>
      </c>
      <c r="P10" s="27">
        <f>'Income Statement'!Q24/'Balance Sheet'!N19</f>
        <v>8.6688078306415284E-2</v>
      </c>
      <c r="Q10" s="26">
        <f>'Income Statement'!R24/'Balance Sheet'!O19</f>
        <v>7.6891086084347846E-2</v>
      </c>
      <c r="R10" s="26">
        <f>'Income Statement'!S24/'Balance Sheet'!P19</f>
        <v>2.4731953842430734E-2</v>
      </c>
      <c r="S10" s="26">
        <f>'Income Statement'!T24/'Balance Sheet'!Q19</f>
        <v>2.8701912450046281E-2</v>
      </c>
      <c r="T10" s="26">
        <f>'Income Statement'!U24/'Balance Sheet'!R19</f>
        <v>4.9671329183456807E-3</v>
      </c>
      <c r="U10" s="27">
        <f>'Income Statement'!V24/'Balance Sheet'!R19</f>
        <v>0.11867112178451868</v>
      </c>
      <c r="V10" s="26">
        <f>'Income Statement'!W24/'Balance Sheet'!S19</f>
        <v>1.1478368715626594E-2</v>
      </c>
      <c r="W10" s="26">
        <f>'Income Statement'!X24/'Balance Sheet'!T19</f>
        <v>6.4993556382469328E-3</v>
      </c>
      <c r="X10" s="26">
        <f>'Income Statement'!Y24/'Balance Sheet'!U19</f>
        <v>1.2091005613885061E-2</v>
      </c>
      <c r="Y10" s="26">
        <f>'Income Statement'!Z24/'Balance Sheet'!V19</f>
        <v>9.2922365745008294E-4</v>
      </c>
      <c r="Z10" s="39">
        <f>'Income Statement'!AA24/'Balance Sheet'!V19</f>
        <v>3.0373211891018853E-2</v>
      </c>
      <c r="AB10" t="e">
        <f>NA()</f>
        <v>#N/A</v>
      </c>
    </row>
    <row r="11" spans="1:28" ht="18" customHeight="1" x14ac:dyDescent="0.3">
      <c r="A11" s="36" t="s">
        <v>105</v>
      </c>
      <c r="B11" s="28">
        <f>'Income Statement'!C27/'Balance Sheet'!C27</f>
        <v>-1.1036894370136816E-2</v>
      </c>
      <c r="C11" s="28">
        <f>'Income Statement'!D27/'Balance Sheet'!D27</f>
        <v>-4.5037666231660485E-3</v>
      </c>
      <c r="D11" s="28">
        <f>'Income Statement'!E27/'Balance Sheet'!E27</f>
        <v>-5.7366338295924248E-3</v>
      </c>
      <c r="E11" s="28">
        <f>'Income Statement'!F27/'Balance Sheet'!F27</f>
        <v>-2.7296232719650074E-3</v>
      </c>
      <c r="F11" s="27">
        <f>'Income Statement'!G27/'Balance Sheet'!F27</f>
        <v>-2.4110659656489224E-2</v>
      </c>
      <c r="G11" s="28">
        <f>'Income Statement'!H27/'Balance Sheet'!G27</f>
        <v>1.8689092003310676E-2</v>
      </c>
      <c r="H11" s="28">
        <f>'Income Statement'!I27/'Balance Sheet'!H27</f>
        <v>-3.3391664502138096E-2</v>
      </c>
      <c r="I11" s="28">
        <f>'Income Statement'!J27/'Balance Sheet'!I27</f>
        <v>-5.3546361821984502E-3</v>
      </c>
      <c r="J11" s="28">
        <f>'Income Statement'!K27/'Balance Sheet'!J27</f>
        <v>2.0461171543789201E-2</v>
      </c>
      <c r="K11" s="27">
        <f>'Income Statement'!L27/'Balance Sheet'!J27</f>
        <v>-1.7305974735453034E-3</v>
      </c>
      <c r="L11" s="28">
        <f>'Income Statement'!M27/'Balance Sheet'!K27</f>
        <v>4.7653891993419691E-2</v>
      </c>
      <c r="M11" s="28">
        <f>'Income Statement'!N27/'Balance Sheet'!L27</f>
        <v>8.3681571399106078E-2</v>
      </c>
      <c r="N11" s="28">
        <f>'Income Statement'!O27/'Balance Sheet'!M27</f>
        <v>3.794020455163797E-2</v>
      </c>
      <c r="O11" s="28">
        <f>'Income Statement'!P27/'Balance Sheet'!N27</f>
        <v>5.0678624891047186E-2</v>
      </c>
      <c r="P11" s="27">
        <f>'Income Statement'!Q27/'Balance Sheet'!N27</f>
        <v>0.20420162644989884</v>
      </c>
      <c r="Q11" s="28">
        <f>'Income Statement'!R27/'Balance Sheet'!O27</f>
        <v>0.17389548477033173</v>
      </c>
      <c r="R11" s="28">
        <f>'Income Statement'!S27/'Balance Sheet'!P27</f>
        <v>5.1710244474572661E-2</v>
      </c>
      <c r="S11" s="28">
        <f>'Income Statement'!T27/'Balance Sheet'!Q27</f>
        <v>6.1832438169641971E-2</v>
      </c>
      <c r="T11" s="28">
        <f>'Income Statement'!U27/'Balance Sheet'!R27</f>
        <v>9.2649586665358736E-3</v>
      </c>
      <c r="U11" s="27">
        <f>'Income Statement'!V27/'Balance Sheet'!R27</f>
        <v>0.23840162951160054</v>
      </c>
      <c r="V11" s="28">
        <f>'Income Statement'!W27/'Balance Sheet'!S27</f>
        <v>2.4130014418337526E-2</v>
      </c>
      <c r="W11" s="28">
        <f>'Income Statement'!X27/'Balance Sheet'!T27</f>
        <v>1.3659916032539552E-2</v>
      </c>
      <c r="X11" s="28">
        <f>'Income Statement'!Y27/'Balance Sheet'!U27</f>
        <v>2.4433811881414975E-2</v>
      </c>
      <c r="Y11" s="28">
        <f>'Income Statement'!Z27/'Balance Sheet'!V27</f>
        <v>3.6809468491601628E-4</v>
      </c>
      <c r="Z11" s="39">
        <f>'Income Statement'!AA27/'Balance Sheet'!V27</f>
        <v>6.1359018290166323E-2</v>
      </c>
      <c r="AB11" t="e">
        <f>NA()</f>
        <v>#N/A</v>
      </c>
    </row>
    <row r="12" spans="1:28" ht="21.75" customHeight="1" x14ac:dyDescent="0.3">
      <c r="A12" s="64" t="s">
        <v>106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8" ht="18" customHeight="1" x14ac:dyDescent="0.3">
      <c r="A13" s="36" t="s">
        <v>107</v>
      </c>
      <c r="B13" s="28">
        <f>'Balance Sheet'!C18/'Balance Sheet'!C44</f>
        <v>0.97739053413769827</v>
      </c>
      <c r="C13" s="28">
        <f>'Balance Sheet'!D18/'Balance Sheet'!D44</f>
        <v>0.99826274742808796</v>
      </c>
      <c r="D13" s="28">
        <f>'Balance Sheet'!E18/'Balance Sheet'!E44</f>
        <v>1.1097515023063376</v>
      </c>
      <c r="E13" s="28">
        <f>'Balance Sheet'!F18/'Balance Sheet'!F44</f>
        <v>1.1375598061396719</v>
      </c>
      <c r="F13" s="27">
        <f>'Balance Sheet'!F18/'Balance Sheet'!F44</f>
        <v>1.1375598061396719</v>
      </c>
      <c r="G13" s="28">
        <f>'Balance Sheet'!G18/'Balance Sheet'!G44</f>
        <v>1.1591271909890495</v>
      </c>
      <c r="H13" s="28">
        <f>'Balance Sheet'!H18/'Balance Sheet'!H44</f>
        <v>1.156952458912647</v>
      </c>
      <c r="I13" s="28">
        <f>'Balance Sheet'!I18/'Balance Sheet'!I44</f>
        <v>1.1478822620396836</v>
      </c>
      <c r="J13" s="28">
        <f>'Balance Sheet'!J18/'Balance Sheet'!J44</f>
        <v>1.1591795302846215</v>
      </c>
      <c r="K13" s="27">
        <f>'Balance Sheet'!J18/'Balance Sheet'!J44</f>
        <v>1.1591795302846215</v>
      </c>
      <c r="L13" s="28">
        <f>'Balance Sheet'!K18/'Balance Sheet'!K44</f>
        <v>1.1491138849869256</v>
      </c>
      <c r="M13" s="28">
        <f>'Balance Sheet'!L18/'Balance Sheet'!L44</f>
        <v>1.2013085291881691</v>
      </c>
      <c r="N13" s="28">
        <f>'Balance Sheet'!M18/'Balance Sheet'!M44</f>
        <v>1.2110844015396978</v>
      </c>
      <c r="O13" s="28">
        <f>'Balance Sheet'!N18/'Balance Sheet'!N44</f>
        <v>1.2267967360764098</v>
      </c>
      <c r="P13" s="27">
        <f>'Balance Sheet'!N18/'Balance Sheet'!N44</f>
        <v>1.2267967360764098</v>
      </c>
      <c r="Q13" s="28">
        <f>'Balance Sheet'!O18/'Balance Sheet'!O44</f>
        <v>1.3752676946930069</v>
      </c>
      <c r="R13" s="28">
        <f>'Balance Sheet'!P18/'Balance Sheet'!P44</f>
        <v>1.4159141044137893</v>
      </c>
      <c r="S13" s="28">
        <f>'Balance Sheet'!Q18/'Balance Sheet'!Q44</f>
        <v>1.4602207710992143</v>
      </c>
      <c r="T13" s="28">
        <f>'Balance Sheet'!R18/'Balance Sheet'!R44</f>
        <v>1.4928713347113896</v>
      </c>
      <c r="U13" s="27">
        <f>'Balance Sheet'!R18/'Balance Sheet'!R44</f>
        <v>1.4928713347113896</v>
      </c>
      <c r="V13" s="28">
        <f>'Balance Sheet'!S18/'Balance Sheet'!S44</f>
        <v>1.4384290471842132</v>
      </c>
      <c r="W13" s="28">
        <f>'Balance Sheet'!T18/'Balance Sheet'!T44</f>
        <v>1.3942508404246641</v>
      </c>
      <c r="X13" s="28">
        <f>'Balance Sheet'!U18/'Balance Sheet'!U44</f>
        <v>1.3887239407309988</v>
      </c>
      <c r="Y13" s="28">
        <f>'Balance Sheet'!V18/'Balance Sheet'!V44</f>
        <v>1.3648887258822999</v>
      </c>
      <c r="Z13" s="39">
        <f>'Balance Sheet'!V18/'Balance Sheet'!V44</f>
        <v>1.3648887258822999</v>
      </c>
      <c r="AB13" t="e">
        <f>NA()</f>
        <v>#N/A</v>
      </c>
    </row>
    <row r="14" spans="1:28" ht="18" customHeight="1" x14ac:dyDescent="0.3">
      <c r="A14" s="36" t="s">
        <v>108</v>
      </c>
      <c r="B14" s="26">
        <f>('Balance Sheet'!C18-'Balance Sheet'!C14)/'Balance Sheet'!C44</f>
        <v>0.48006815586997714</v>
      </c>
      <c r="C14" s="26">
        <f>('Balance Sheet'!D18-'Balance Sheet'!D14)/'Balance Sheet'!D44</f>
        <v>0.48511414869552055</v>
      </c>
      <c r="D14" s="26">
        <f>('Balance Sheet'!E18-'Balance Sheet'!E14)/'Balance Sheet'!E44</f>
        <v>0.5254667750487495</v>
      </c>
      <c r="E14" s="26">
        <f>('Balance Sheet'!F18-'Balance Sheet'!F14)/'Balance Sheet'!F44</f>
        <v>0.52785857149249005</v>
      </c>
      <c r="F14" s="27">
        <f>('Balance Sheet'!F18-'Balance Sheet'!F14)/'Balance Sheet'!F44</f>
        <v>0.52785857149249005</v>
      </c>
      <c r="G14" s="26">
        <f>('Balance Sheet'!G18-'Balance Sheet'!G14)/'Balance Sheet'!G44</f>
        <v>0.58859930123481941</v>
      </c>
      <c r="H14" s="26">
        <f>('Balance Sheet'!H18-'Balance Sheet'!H14)/'Balance Sheet'!H44</f>
        <v>0.5792794950388015</v>
      </c>
      <c r="I14" s="26">
        <f>('Balance Sheet'!I18-'Balance Sheet'!I14)/'Balance Sheet'!I44</f>
        <v>0.64262539528097318</v>
      </c>
      <c r="J14" s="26">
        <f>('Balance Sheet'!J18-'Balance Sheet'!J14)/'Balance Sheet'!J44</f>
        <v>0.62491909898843423</v>
      </c>
      <c r="K14" s="27">
        <f>('Balance Sheet'!J18-'Balance Sheet'!J14)/'Balance Sheet'!J44</f>
        <v>0.62491909898843423</v>
      </c>
      <c r="L14" s="26">
        <f>('Balance Sheet'!K18-'Balance Sheet'!K14)/'Balance Sheet'!K44</f>
        <v>0.54882494663565495</v>
      </c>
      <c r="M14" s="26">
        <f>('Balance Sheet'!L18-'Balance Sheet'!L14)/'Balance Sheet'!L44</f>
        <v>0.54885052723018835</v>
      </c>
      <c r="N14" s="26">
        <f>('Balance Sheet'!M18-'Balance Sheet'!M14)/'Balance Sheet'!M44</f>
        <v>0.56261815279627503</v>
      </c>
      <c r="O14" s="26">
        <f>('Balance Sheet'!N18-'Balance Sheet'!N14)/'Balance Sheet'!N44</f>
        <v>0.62081459998873212</v>
      </c>
      <c r="P14" s="27">
        <f>('Balance Sheet'!N18-'Balance Sheet'!N14)/'Balance Sheet'!N44</f>
        <v>0.62081459998873212</v>
      </c>
      <c r="Q14" s="26">
        <f>('Balance Sheet'!O18-'Balance Sheet'!O14)/'Balance Sheet'!O44</f>
        <v>0.74627952467499892</v>
      </c>
      <c r="R14" s="26">
        <f>('Balance Sheet'!P18-'Balance Sheet'!P14)/'Balance Sheet'!P44</f>
        <v>0.68578624634783825</v>
      </c>
      <c r="S14" s="26">
        <f>('Balance Sheet'!Q18-'Balance Sheet'!Q14)/'Balance Sheet'!Q44</f>
        <v>0.74573247945197818</v>
      </c>
      <c r="T14" s="26">
        <f>('Balance Sheet'!R18-'Balance Sheet'!R14)/'Balance Sheet'!R44</f>
        <v>0.6178997518736653</v>
      </c>
      <c r="U14" s="27">
        <f>('Balance Sheet'!R18-'Balance Sheet'!R14)/'Balance Sheet'!R44</f>
        <v>0.6178997518736653</v>
      </c>
      <c r="V14" s="26">
        <f>('Balance Sheet'!S18-'Balance Sheet'!S14)/'Balance Sheet'!S44</f>
        <v>0.61719377044730139</v>
      </c>
      <c r="W14" s="26">
        <f>('Balance Sheet'!T18-'Balance Sheet'!T14)/'Balance Sheet'!T44</f>
        <v>0.61760589976783253</v>
      </c>
      <c r="X14" s="26">
        <f>('Balance Sheet'!U18-'Balance Sheet'!U14)/'Balance Sheet'!U44</f>
        <v>0.58250167382074014</v>
      </c>
      <c r="Y14" s="26">
        <f>('Balance Sheet'!V18-'Balance Sheet'!V14)/'Balance Sheet'!V44</f>
        <v>0.55490275051897908</v>
      </c>
      <c r="Z14" s="39">
        <f>('Balance Sheet'!V18-'Balance Sheet'!V14)/'Balance Sheet'!V44</f>
        <v>0.55490275051897908</v>
      </c>
      <c r="AB14" t="e">
        <f>NA()</f>
        <v>#N/A</v>
      </c>
    </row>
    <row r="15" spans="1:28" ht="18" customHeight="1" x14ac:dyDescent="0.3">
      <c r="A15" s="36" t="s">
        <v>109</v>
      </c>
      <c r="B15" s="28">
        <f>'Balance Sheet'!C17/'Balance Sheet'!C44</f>
        <v>8.8361780530207545E-2</v>
      </c>
      <c r="C15" s="28">
        <f>'Balance Sheet'!D17/'Balance Sheet'!D44</f>
        <v>8.2806597482144098E-2</v>
      </c>
      <c r="D15" s="28">
        <f>'Balance Sheet'!E17/'Balance Sheet'!E44</f>
        <v>8.5184438838781823E-2</v>
      </c>
      <c r="E15" s="28">
        <f>'Balance Sheet'!F17/'Balance Sheet'!F44</f>
        <v>0.11058314297321606</v>
      </c>
      <c r="F15" s="27">
        <f>'Balance Sheet'!F17/'Balance Sheet'!F44</f>
        <v>0.11058314297321606</v>
      </c>
      <c r="G15" s="28">
        <f>'Balance Sheet'!G17/'Balance Sheet'!G44</f>
        <v>0.16506926698442376</v>
      </c>
      <c r="H15" s="28">
        <f>'Balance Sheet'!H17/'Balance Sheet'!H44</f>
        <v>0.15091657418620871</v>
      </c>
      <c r="I15" s="28">
        <f>'Balance Sheet'!I17/'Balance Sheet'!I44</f>
        <v>0.21618384704189819</v>
      </c>
      <c r="J15" s="28">
        <f>'Balance Sheet'!J17/'Balance Sheet'!J44</f>
        <v>0.2148686630341701</v>
      </c>
      <c r="K15" s="27">
        <f>'Balance Sheet'!J17/'Balance Sheet'!J44</f>
        <v>0.2148686630341701</v>
      </c>
      <c r="L15" s="28">
        <f>'Balance Sheet'!K17/'Balance Sheet'!K44</f>
        <v>0.12717886196471337</v>
      </c>
      <c r="M15" s="28">
        <f>'Balance Sheet'!L17/'Balance Sheet'!L44</f>
        <v>0.11294913592818795</v>
      </c>
      <c r="N15" s="28">
        <f>'Balance Sheet'!M17/'Balance Sheet'!M44</f>
        <v>0.11772930170630784</v>
      </c>
      <c r="O15" s="28">
        <f>'Balance Sheet'!N17/'Balance Sheet'!N44</f>
        <v>0.17313516857023617</v>
      </c>
      <c r="P15" s="27">
        <f>'Balance Sheet'!N17/'Balance Sheet'!N44</f>
        <v>0.17313516857023617</v>
      </c>
      <c r="Q15" s="28">
        <f>'Balance Sheet'!O17/'Balance Sheet'!O44</f>
        <v>0.2495042759034998</v>
      </c>
      <c r="R15" s="28">
        <f>'Balance Sheet'!P17/'Balance Sheet'!P44</f>
        <v>0.1677263774785753</v>
      </c>
      <c r="S15" s="28">
        <f>'Balance Sheet'!Q17/'Balance Sheet'!Q44</f>
        <v>0.20225855452617858</v>
      </c>
      <c r="T15" s="28">
        <f>'Balance Sheet'!R17/'Balance Sheet'!R44</f>
        <v>0.12117650655118857</v>
      </c>
      <c r="U15" s="27">
        <f>'Balance Sheet'!R17/'Balance Sheet'!R44</f>
        <v>0.12117650655118857</v>
      </c>
      <c r="V15" s="28">
        <f>'Balance Sheet'!S17/'Balance Sheet'!S44</f>
        <v>0.11184781816310475</v>
      </c>
      <c r="W15" s="28">
        <f>'Balance Sheet'!T17/'Balance Sheet'!T44</f>
        <v>0.10079594140660662</v>
      </c>
      <c r="X15" s="28">
        <f>'Balance Sheet'!U17/'Balance Sheet'!U44</f>
        <v>9.9149397448595147E-2</v>
      </c>
      <c r="Y15" s="28">
        <f>'Balance Sheet'!V17/'Balance Sheet'!V44</f>
        <v>8.8287082558415095E-2</v>
      </c>
      <c r="Z15" s="39">
        <f>'Balance Sheet'!V17/'Balance Sheet'!V44</f>
        <v>8.8287082558415095E-2</v>
      </c>
      <c r="AB15" t="e">
        <f>NA()</f>
        <v>#N/A</v>
      </c>
    </row>
    <row r="16" spans="1:28" ht="21.75" customHeight="1" x14ac:dyDescent="0.3">
      <c r="A16" s="64" t="s">
        <v>110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8" ht="18" customHeight="1" x14ac:dyDescent="0.3">
      <c r="A17" s="36" t="s">
        <v>111</v>
      </c>
      <c r="B17" s="28">
        <f>'Balance Sheet'!C45/'Balance Sheet'!C29</f>
        <v>1.160844158347091</v>
      </c>
      <c r="C17" s="28">
        <f>'Balance Sheet'!D45/'Balance Sheet'!D29</f>
        <v>1.2601438100601234</v>
      </c>
      <c r="D17" s="28">
        <f>'Balance Sheet'!E45/'Balance Sheet'!E29</f>
        <v>1.2728503691182846</v>
      </c>
      <c r="E17" s="28">
        <f>'Balance Sheet'!F45/'Balance Sheet'!F29</f>
        <v>1.2195507353549262</v>
      </c>
      <c r="F17" s="27">
        <f>'Balance Sheet'!F45/'Balance Sheet'!F29</f>
        <v>1.2195507353549262</v>
      </c>
      <c r="G17" s="28">
        <f>'Balance Sheet'!G45/'Balance Sheet'!G29</f>
        <v>1.3088585504986716</v>
      </c>
      <c r="H17" s="28">
        <f>'Balance Sheet'!H45/'Balance Sheet'!H29</f>
        <v>1.1890722026041025</v>
      </c>
      <c r="I17" s="28">
        <f>'Balance Sheet'!I45/'Balance Sheet'!I29</f>
        <v>1.3128613312167567</v>
      </c>
      <c r="J17" s="28">
        <f>'Balance Sheet'!J45/'Balance Sheet'!J29</f>
        <v>1.4708538611904598</v>
      </c>
      <c r="K17" s="27">
        <f>'Balance Sheet'!J45/'Balance Sheet'!J29</f>
        <v>1.4708538611904598</v>
      </c>
      <c r="L17" s="28">
        <f>'Balance Sheet'!K45/'Balance Sheet'!K29</f>
        <v>1.6079128805635221</v>
      </c>
      <c r="M17" s="28">
        <f>'Balance Sheet'!L45/'Balance Sheet'!L29</f>
        <v>1.5968875458469709</v>
      </c>
      <c r="N17" s="28">
        <f>'Balance Sheet'!M45/'Balance Sheet'!M29</f>
        <v>1.5234394873149868</v>
      </c>
      <c r="O17" s="28">
        <f>'Balance Sheet'!N45/'Balance Sheet'!N29</f>
        <v>1.4120082014114144</v>
      </c>
      <c r="P17" s="27">
        <f>'Balance Sheet'!N45/'Balance Sheet'!N29</f>
        <v>1.4120082014114144</v>
      </c>
      <c r="Q17" s="28">
        <f>'Balance Sheet'!O45/'Balance Sheet'!O29</f>
        <v>1.2271742261975527</v>
      </c>
      <c r="R17" s="28">
        <f>'Balance Sheet'!P45/'Balance Sheet'!P29</f>
        <v>1.1677501125400895</v>
      </c>
      <c r="S17" s="28">
        <f>'Balance Sheet'!Q45/'Balance Sheet'!Q29</f>
        <v>1.1390390772198851</v>
      </c>
      <c r="T17" s="28">
        <f>'Balance Sheet'!R45/'Balance Sheet'!R29</f>
        <v>1.0088565459381591</v>
      </c>
      <c r="U17" s="27">
        <f>'Balance Sheet'!R45/'Balance Sheet'!R29</f>
        <v>1.0088565459381591</v>
      </c>
      <c r="V17" s="28">
        <f>'Balance Sheet'!S45/'Balance Sheet'!S29</f>
        <v>1.0471107743836705</v>
      </c>
      <c r="W17" s="28">
        <f>'Balance Sheet'!T45/'Balance Sheet'!T29</f>
        <v>1.1174875931804864</v>
      </c>
      <c r="X17" s="28">
        <f>'Balance Sheet'!U45/'Balance Sheet'!U29</f>
        <v>1.0872247170477356</v>
      </c>
      <c r="Y17" s="28">
        <f>'Balance Sheet'!V45/'Balance Sheet'!V29</f>
        <v>1.0792588762960835</v>
      </c>
      <c r="Z17" s="39">
        <f>'Balance Sheet'!V45/'Balance Sheet'!V29</f>
        <v>1.0792588762960835</v>
      </c>
      <c r="AB17" t="e">
        <f>NA()</f>
        <v>#N/A</v>
      </c>
    </row>
    <row r="18" spans="1:28" ht="18" customHeight="1" x14ac:dyDescent="0.3">
      <c r="A18" s="36" t="s">
        <v>112</v>
      </c>
      <c r="B18" s="26">
        <f>'Balance Sheet'!C45/'Balance Sheet'!C19</f>
        <v>0.53721789878408599</v>
      </c>
      <c r="C18" s="26">
        <f>'Balance Sheet'!D45/'Balance Sheet'!D19</f>
        <v>0.55755027819517444</v>
      </c>
      <c r="D18" s="26">
        <f>'Balance Sheet'!E45/'Balance Sheet'!E19</f>
        <v>0.56002383017060042</v>
      </c>
      <c r="E18" s="26">
        <f>'Balance Sheet'!F45/'Balance Sheet'!F19</f>
        <v>0.54945837278187248</v>
      </c>
      <c r="F18" s="27">
        <f>'Balance Sheet'!F45/'Balance Sheet'!F19</f>
        <v>0.54945837278187248</v>
      </c>
      <c r="G18" s="26">
        <f>'Balance Sheet'!G45/'Balance Sheet'!G19</f>
        <v>0.56688555053144418</v>
      </c>
      <c r="H18" s="26">
        <f>'Balance Sheet'!H45/'Balance Sheet'!H19</f>
        <v>0.54318546514344845</v>
      </c>
      <c r="I18" s="26">
        <f>'Balance Sheet'!I45/'Balance Sheet'!I19</f>
        <v>0.56763512515732317</v>
      </c>
      <c r="J18" s="26">
        <f>'Balance Sheet'!J45/'Balance Sheet'!J19</f>
        <v>0.595281608634596</v>
      </c>
      <c r="K18" s="27">
        <f>'Balance Sheet'!J45/'Balance Sheet'!J19</f>
        <v>0.595281608634596</v>
      </c>
      <c r="L18" s="26">
        <f>'Balance Sheet'!K45/'Balance Sheet'!K19</f>
        <v>0.61655160820252619</v>
      </c>
      <c r="M18" s="26">
        <f>'Balance Sheet'!L45/'Balance Sheet'!L19</f>
        <v>0.61492364134163868</v>
      </c>
      <c r="N18" s="26">
        <f>'Balance Sheet'!M45/'Balance Sheet'!M19</f>
        <v>0.60371548236964889</v>
      </c>
      <c r="O18" s="26">
        <f>'Balance Sheet'!N45/'Balance Sheet'!N19</f>
        <v>0.58540771154308746</v>
      </c>
      <c r="P18" s="27">
        <f>'Balance Sheet'!N45/'Balance Sheet'!N19</f>
        <v>0.58540771154308746</v>
      </c>
      <c r="Q18" s="26">
        <f>'Balance Sheet'!O45/'Balance Sheet'!O19</f>
        <v>0.55100055117497626</v>
      </c>
      <c r="R18" s="26">
        <f>'Balance Sheet'!P45/'Balance Sheet'!P19</f>
        <v>0.53869221631443631</v>
      </c>
      <c r="S18" s="26">
        <f>'Balance Sheet'!Q45/'Balance Sheet'!Q19</f>
        <v>0.53250035932036233</v>
      </c>
      <c r="T18" s="26">
        <f>'Balance Sheet'!R45/'Balance Sheet'!R19</f>
        <v>0.50220437491070902</v>
      </c>
      <c r="U18" s="27">
        <f>'Balance Sheet'!R45/'Balance Sheet'!R19</f>
        <v>0.50220437491070902</v>
      </c>
      <c r="V18" s="26">
        <f>'Balance Sheet'!S45/'Balance Sheet'!S19</f>
        <v>0.51150664999988937</v>
      </c>
      <c r="W18" s="26">
        <f>'Balance Sheet'!T45/'Balance Sheet'!T19</f>
        <v>0.52774221524576181</v>
      </c>
      <c r="X18" s="26">
        <f>'Balance Sheet'!U45/'Balance Sheet'!U19</f>
        <v>0.52089490325007037</v>
      </c>
      <c r="Y18" s="26">
        <f>'Balance Sheet'!V45/'Balance Sheet'!V19</f>
        <v>0.5190594055409955</v>
      </c>
      <c r="Z18" s="39">
        <f>'Balance Sheet'!V45/'Balance Sheet'!V19</f>
        <v>0.5190594055409955</v>
      </c>
      <c r="AB18" t="e">
        <f>NA()</f>
        <v>#N/A</v>
      </c>
    </row>
    <row r="19" spans="1:28" ht="18" customHeight="1" x14ac:dyDescent="0.3">
      <c r="A19" s="36" t="s">
        <v>113</v>
      </c>
      <c r="B19" s="28">
        <f>'Balance Sheet'!C29/'Balance Sheet'!C19</f>
        <v>0.46278210121591401</v>
      </c>
      <c r="C19" s="28">
        <f>'Balance Sheet'!D29/'Balance Sheet'!D19</f>
        <v>0.4424497218048255</v>
      </c>
      <c r="D19" s="28">
        <f>'Balance Sheet'!E29/'Balance Sheet'!E19</f>
        <v>0.43997616982939958</v>
      </c>
      <c r="E19" s="28">
        <f>'Balance Sheet'!F29/'Balance Sheet'!F19</f>
        <v>0.45054162721812757</v>
      </c>
      <c r="F19" s="27">
        <f>'Balance Sheet'!F29/'Balance Sheet'!F19</f>
        <v>0.45054162721812757</v>
      </c>
      <c r="G19" s="28">
        <f>'Balance Sheet'!G29/'Balance Sheet'!G19</f>
        <v>0.43311444946855582</v>
      </c>
      <c r="H19" s="28">
        <f>'Balance Sheet'!H29/'Balance Sheet'!H19</f>
        <v>0.4568145348565516</v>
      </c>
      <c r="I19" s="28">
        <f>'Balance Sheet'!I29/'Balance Sheet'!I19</f>
        <v>0.43236487484267683</v>
      </c>
      <c r="J19" s="28">
        <f>'Balance Sheet'!J29/'Balance Sheet'!J19</f>
        <v>0.40471839136540394</v>
      </c>
      <c r="K19" s="27">
        <f>'Balance Sheet'!J29/'Balance Sheet'!J19</f>
        <v>0.40471839136540394</v>
      </c>
      <c r="L19" s="28">
        <f>'Balance Sheet'!K29/'Balance Sheet'!K19</f>
        <v>0.38344839179747381</v>
      </c>
      <c r="M19" s="28">
        <f>'Balance Sheet'!L29/'Balance Sheet'!L19</f>
        <v>0.38507635865836137</v>
      </c>
      <c r="N19" s="28">
        <f>'Balance Sheet'!M29/'Balance Sheet'!M19</f>
        <v>0.39628451763035111</v>
      </c>
      <c r="O19" s="28">
        <f>'Balance Sheet'!N29/'Balance Sheet'!N19</f>
        <v>0.41459228845691259</v>
      </c>
      <c r="P19" s="27">
        <f>'Balance Sheet'!N29/'Balance Sheet'!N19</f>
        <v>0.41459228845691259</v>
      </c>
      <c r="Q19" s="28">
        <f>'Balance Sheet'!O29/'Balance Sheet'!O19</f>
        <v>0.44899944882502379</v>
      </c>
      <c r="R19" s="28">
        <f>'Balance Sheet'!P29/'Balance Sheet'!P19</f>
        <v>0.46130778368556374</v>
      </c>
      <c r="S19" s="28">
        <f>'Balance Sheet'!Q29/'Balance Sheet'!Q19</f>
        <v>0.46749964067963767</v>
      </c>
      <c r="T19" s="28">
        <f>'Balance Sheet'!R29/'Balance Sheet'!R19</f>
        <v>0.49779562508929104</v>
      </c>
      <c r="U19" s="27">
        <f>'Balance Sheet'!R29/'Balance Sheet'!R19</f>
        <v>0.49779562508929104</v>
      </c>
      <c r="V19" s="28">
        <f>'Balance Sheet'!S29/'Balance Sheet'!S19</f>
        <v>0.48849335000011068</v>
      </c>
      <c r="W19" s="28">
        <f>'Balance Sheet'!T29/'Balance Sheet'!T19</f>
        <v>0.47225778475423819</v>
      </c>
      <c r="X19" s="28">
        <f>'Balance Sheet'!U29/'Balance Sheet'!U19</f>
        <v>0.47910509674992968</v>
      </c>
      <c r="Y19" s="28">
        <f>'Balance Sheet'!V29/'Balance Sheet'!V19</f>
        <v>0.48094059445900444</v>
      </c>
      <c r="Z19" s="39">
        <f>'Balance Sheet'!V29/'Balance Sheet'!V19</f>
        <v>0.48094059445900444</v>
      </c>
      <c r="AB19" t="e">
        <f>NA()</f>
        <v>#N/A</v>
      </c>
    </row>
    <row r="20" spans="1:28" ht="21.75" customHeight="1" x14ac:dyDescent="0.3">
      <c r="A20" s="64" t="s">
        <v>114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8" ht="18" customHeight="1" x14ac:dyDescent="0.3">
      <c r="A21" s="36" t="s">
        <v>115</v>
      </c>
      <c r="B21" s="29">
        <f>'Income Statement'!C6/'Balance Sheet'!C19</f>
        <v>0.17891686951588293</v>
      </c>
      <c r="C21" s="29">
        <f>'Income Statement'!D6/'Balance Sheet'!D19</f>
        <v>0.18148673187793388</v>
      </c>
      <c r="D21" s="29">
        <f>'Income Statement'!E6/'Balance Sheet'!E19</f>
        <v>0.19395134901898531</v>
      </c>
      <c r="E21" s="29">
        <f>'Income Statement'!F6/'Balance Sheet'!F19</f>
        <v>0.21200384791447119</v>
      </c>
      <c r="F21" s="30">
        <f>'Income Statement'!G6/'Balance Sheet'!F19</f>
        <v>0.77146068750636065</v>
      </c>
      <c r="G21" s="43">
        <f>'Income Statement'!H6/'Balance Sheet'!G19</f>
        <v>0.20184742712529372</v>
      </c>
      <c r="H21" s="29">
        <f>'Income Statement'!I6/'Balance Sheet'!H19</f>
        <v>0.17809778197350745</v>
      </c>
      <c r="I21" s="29">
        <f>'Income Statement'!J6/'Balance Sheet'!I19</f>
        <v>0.2005558397728277</v>
      </c>
      <c r="J21" s="29">
        <f>'Income Statement'!K6/'Balance Sheet'!J19</f>
        <v>0.20240021476471545</v>
      </c>
      <c r="K21" s="30">
        <f>'Income Statement'!L6/'Balance Sheet'!J19</f>
        <v>0.69721788922266748</v>
      </c>
      <c r="L21" s="29">
        <f>'Income Statement'!M6/'Balance Sheet'!K19</f>
        <v>0.24260541958877088</v>
      </c>
      <c r="M21" s="29">
        <f>'Income Statement'!N6/'Balance Sheet'!L19</f>
        <v>0.22055246858926769</v>
      </c>
      <c r="N21" s="29">
        <f>'Income Statement'!O6/'Balance Sheet'!M19</f>
        <v>0.22552962451444883</v>
      </c>
      <c r="O21" s="29">
        <f>'Income Statement'!P6/'Balance Sheet'!N19</f>
        <v>0.2241820953856164</v>
      </c>
      <c r="P21" s="30">
        <f>'Income Statement'!Q6/'Balance Sheet'!N19</f>
        <v>0.88772895468550328</v>
      </c>
      <c r="Q21" s="29">
        <f>'Income Statement'!R6/'Balance Sheet'!O19</f>
        <v>0.21955363261523994</v>
      </c>
      <c r="R21" s="29">
        <f>'Income Statement'!S6/'Balance Sheet'!P19</f>
        <v>0.2374262391457623</v>
      </c>
      <c r="S21" s="29">
        <f>'Income Statement'!T6/'Balance Sheet'!Q19</f>
        <v>0.23668553559620489</v>
      </c>
      <c r="T21" s="29">
        <f>'Income Statement'!U6/'Balance Sheet'!R19</f>
        <v>0.23034648138903246</v>
      </c>
      <c r="U21" s="30">
        <f>'Income Statement'!V6/'Balance Sheet'!R19</f>
        <v>0.85766920011015002</v>
      </c>
      <c r="V21" s="29">
        <f>'Income Statement'!W6/'Balance Sheet'!S19</f>
        <v>0.2089795971926614</v>
      </c>
      <c r="W21" s="29">
        <f>'Income Statement'!X6/'Balance Sheet'!T19</f>
        <v>0.22125330767300949</v>
      </c>
      <c r="X21" s="29">
        <f>'Income Statement'!Y6/'Balance Sheet'!U19</f>
        <v>0.25437687400365083</v>
      </c>
      <c r="Y21" s="29">
        <f>'Income Statement'!Z6/'Balance Sheet'!V19</f>
        <v>0.24143235365984389</v>
      </c>
      <c r="Z21" s="40">
        <f>'Income Statement'!AA6/'Balance Sheet'!V19</f>
        <v>0.91409655694841541</v>
      </c>
      <c r="AB21" t="e">
        <f>NA()</f>
        <v>#N/A</v>
      </c>
    </row>
    <row r="22" spans="1:28" ht="18" customHeight="1" x14ac:dyDescent="0.3">
      <c r="A22" s="36" t="s">
        <v>116</v>
      </c>
      <c r="B22" s="31">
        <f>-'Income Statement'!C7/'Balance Sheet'!C14</f>
        <v>0.57518230796611269</v>
      </c>
      <c r="C22" s="31">
        <f>-'Income Statement'!D7/'Balance Sheet'!D14</f>
        <v>0.54266358760119993</v>
      </c>
      <c r="D22" s="31">
        <f>-'Income Statement'!E7/'Balance Sheet'!E14</f>
        <v>0.55685622924130895</v>
      </c>
      <c r="E22" s="31">
        <f>-'Income Statement'!F7/'Balance Sheet'!F14</f>
        <v>0.59320603055085686</v>
      </c>
      <c r="F22" s="30">
        <f>-'Income Statement'!G7/'Balance Sheet'!F14</f>
        <v>2.210809856889187</v>
      </c>
      <c r="G22" s="44">
        <f>-'Income Statement'!H7/'Balance Sheet'!G14</f>
        <v>0.57976182088067596</v>
      </c>
      <c r="H22" s="31">
        <f>-'Income Statement'!I7/'Balance Sheet'!H14</f>
        <v>0.53857995611808251</v>
      </c>
      <c r="I22" s="31">
        <f>-'Income Statement'!J7/'Balance Sheet'!I14</f>
        <v>0.70115452556462787</v>
      </c>
      <c r="J22" s="31">
        <f>-'Income Statement'!K7/'Balance Sheet'!J14</f>
        <v>0.60830593923269938</v>
      </c>
      <c r="K22" s="30">
        <f>-'Income Statement'!L7/'Balance Sheet'!J14</f>
        <v>2.1606375493881269</v>
      </c>
      <c r="L22" s="31">
        <f>-'Income Statement'!M7/'Balance Sheet'!K14</f>
        <v>0.46269921881165382</v>
      </c>
      <c r="M22" s="31">
        <f>-'Income Statement'!N7/'Balance Sheet'!L14</f>
        <v>0.41454189299044653</v>
      </c>
      <c r="N22" s="31">
        <f>-'Income Statement'!O7/'Balance Sheet'!M14</f>
        <v>0.48759702231240054</v>
      </c>
      <c r="O22" s="31">
        <f>-'Income Statement'!P7/'Balance Sheet'!N14</f>
        <v>0.55612975064238435</v>
      </c>
      <c r="P22" s="30">
        <f>-'Income Statement'!Q7/'Balance Sheet'!N14</f>
        <v>2.0093111254044134</v>
      </c>
      <c r="Q22" s="31">
        <f>-'Income Statement'!R7/'Balance Sheet'!O14</f>
        <v>0.52321556257445656</v>
      </c>
      <c r="R22" s="31">
        <f>-'Income Statement'!S7/'Balance Sheet'!P14</f>
        <v>0.50940207125948789</v>
      </c>
      <c r="S22" s="31">
        <f>-'Income Statement'!T7/'Balance Sheet'!Q14</f>
        <v>0.59174401610956251</v>
      </c>
      <c r="T22" s="31">
        <f>-'Income Statement'!U7/'Balance Sheet'!R14</f>
        <v>0.52821110007229644</v>
      </c>
      <c r="U22" s="30">
        <f>-'Income Statement'!V7/'Balance Sheet'!R14</f>
        <v>1.8752626727183559</v>
      </c>
      <c r="V22" s="31">
        <f>-'Income Statement'!W7/'Balance Sheet'!S14</f>
        <v>0.48090784856208779</v>
      </c>
      <c r="W22" s="31">
        <f>-'Income Statement'!X7/'Balance Sheet'!T14</f>
        <v>0.52382998961837501</v>
      </c>
      <c r="X22" s="31">
        <f>-'Income Statement'!Y7/'Balance Sheet'!U14</f>
        <v>0.58180066115382278</v>
      </c>
      <c r="Y22" s="31">
        <f>-'Income Statement'!Z7/'Balance Sheet'!V14</f>
        <v>0.5836693455869012</v>
      </c>
      <c r="Z22" s="40">
        <f>-'Income Statement'!AA7/'Balance Sheet'!V14</f>
        <v>2.0896205339373344</v>
      </c>
      <c r="AB22" t="e">
        <f>NA()</f>
        <v>#N/A</v>
      </c>
    </row>
    <row r="23" spans="1:28" ht="18" customHeight="1" x14ac:dyDescent="0.3">
      <c r="A23" s="36" t="s">
        <v>117</v>
      </c>
      <c r="B23" s="32">
        <f>IFERROR(365/B22,NA())</f>
        <v>634.58141000662397</v>
      </c>
      <c r="C23" s="32">
        <f t="shared" ref="C23:Z23" si="0">IFERROR(365/C22,NA())</f>
        <v>672.60823895233636</v>
      </c>
      <c r="D23" s="32">
        <f t="shared" si="0"/>
        <v>655.46541608647487</v>
      </c>
      <c r="E23" s="32">
        <f>IFERROR(365/E22,NA())</f>
        <v>615.30055529114816</v>
      </c>
      <c r="F23" s="33">
        <f t="shared" si="0"/>
        <v>165.09787074750454</v>
      </c>
      <c r="G23" s="45">
        <f t="shared" si="0"/>
        <v>629.56887958843822</v>
      </c>
      <c r="H23" s="32">
        <f t="shared" si="0"/>
        <v>677.70810230445068</v>
      </c>
      <c r="I23" s="32">
        <f t="shared" si="0"/>
        <v>520.56998377935543</v>
      </c>
      <c r="J23" s="32">
        <f>IFERROR(365/J22,NA())</f>
        <v>600.02702005573235</v>
      </c>
      <c r="K23" s="33">
        <f t="shared" si="0"/>
        <v>168.93161932845456</v>
      </c>
      <c r="L23" s="32">
        <f t="shared" si="0"/>
        <v>788.84939753610604</v>
      </c>
      <c r="M23" s="32">
        <f t="shared" si="0"/>
        <v>880.49002084431481</v>
      </c>
      <c r="N23" s="32">
        <f t="shared" si="0"/>
        <v>748.56896842603487</v>
      </c>
      <c r="O23" s="32">
        <f>IFERROR(365/O22,NA())</f>
        <v>656.32165799148356</v>
      </c>
      <c r="P23" s="33">
        <f t="shared" si="0"/>
        <v>181.65429703005131</v>
      </c>
      <c r="Q23" s="32">
        <f t="shared" si="0"/>
        <v>697.60921904546444</v>
      </c>
      <c r="R23" s="32">
        <f t="shared" si="0"/>
        <v>716.52633664708856</v>
      </c>
      <c r="S23" s="32">
        <f t="shared" si="0"/>
        <v>616.82077057526101</v>
      </c>
      <c r="T23" s="32">
        <f>IFERROR(365/T22,NA())</f>
        <v>691.01160492470217</v>
      </c>
      <c r="U23" s="33">
        <f t="shared" si="0"/>
        <v>194.63939922128395</v>
      </c>
      <c r="V23" s="32">
        <f t="shared" si="0"/>
        <v>758.98116674815822</v>
      </c>
      <c r="W23" s="32">
        <f t="shared" si="0"/>
        <v>696.79095743623395</v>
      </c>
      <c r="X23" s="32">
        <f t="shared" si="0"/>
        <v>627.36264217392727</v>
      </c>
      <c r="Y23" s="32">
        <f>IFERROR(365/Y22,NA())</f>
        <v>625.35406863449191</v>
      </c>
      <c r="Z23" s="41">
        <f t="shared" si="0"/>
        <v>174.67286240351712</v>
      </c>
      <c r="AB23" t="e">
        <f>NA()</f>
        <v>#N/A</v>
      </c>
    </row>
    <row r="24" spans="1:28" ht="18" customHeight="1" x14ac:dyDescent="0.3">
      <c r="A24" s="36" t="s">
        <v>118</v>
      </c>
      <c r="B24" s="31">
        <f>'Income Statement'!C6/'Balance Sheet'!C15</f>
        <v>0.8758105393773562</v>
      </c>
      <c r="C24" s="31">
        <f>'Income Statement'!D6/'Balance Sheet'!D15</f>
        <v>0.84038571243881566</v>
      </c>
      <c r="D24" s="31">
        <f>'Income Statement'!E6/'Balance Sheet'!E15</f>
        <v>0.90474303981007431</v>
      </c>
      <c r="E24" s="31">
        <f>'Income Statement'!F6/'Balance Sheet'!F15</f>
        <v>1.0864380027937699</v>
      </c>
      <c r="F24" s="30">
        <f>'Income Statement'!G6/'Balance Sheet'!F15</f>
        <v>3.9534386607287062</v>
      </c>
      <c r="G24" s="44">
        <f>'Income Statement'!H6/'Balance Sheet'!G15</f>
        <v>0.98153224516532478</v>
      </c>
      <c r="H24" s="31">
        <f>'Income Statement'!I6/'Balance Sheet'!H15</f>
        <v>0.89410822402757928</v>
      </c>
      <c r="I24" s="31">
        <f>'Income Statement'!J6/'Balance Sheet'!I15</f>
        <v>0.95772327993615802</v>
      </c>
      <c r="J24" s="31">
        <f>'Income Statement'!K6/'Balance Sheet'!J15</f>
        <v>1.0000710710777725</v>
      </c>
      <c r="K24" s="30">
        <f>'Income Statement'!L6/'Balance Sheet'!J15</f>
        <v>3.444993583925049</v>
      </c>
      <c r="L24" s="31">
        <f>'Income Statement'!M6/'Balance Sheet'!K15</f>
        <v>1.119012834073049</v>
      </c>
      <c r="M24" s="31">
        <f>'Income Statement'!N6/'Balance Sheet'!L15</f>
        <v>0.98667832332763616</v>
      </c>
      <c r="N24" s="31">
        <f>'Income Statement'!O6/'Balance Sheet'!M15</f>
        <v>1.0076937776203587</v>
      </c>
      <c r="O24" s="31">
        <f>'Income Statement'!P6/'Balance Sheet'!N15</f>
        <v>1.0366342377328925</v>
      </c>
      <c r="P24" s="30">
        <f>'Income Statement'!Q6/'Balance Sheet'!N15</f>
        <v>4.1049229496713311</v>
      </c>
      <c r="Q24" s="31">
        <f>'Income Statement'!R6/'Balance Sheet'!O15</f>
        <v>0.96535686417464606</v>
      </c>
      <c r="R24" s="31">
        <f>'Income Statement'!S6/'Balance Sheet'!P15</f>
        <v>1.0190732313807018</v>
      </c>
      <c r="S24" s="31">
        <f>'Income Statement'!T6/'Balance Sheet'!Q15</f>
        <v>1.1951415133079264</v>
      </c>
      <c r="T24" s="31">
        <f>'Income Statement'!U6/'Balance Sheet'!R15</f>
        <v>1.2359740939774102</v>
      </c>
      <c r="U24" s="30">
        <f>'Income Statement'!V6/'Balance Sheet'!R15</f>
        <v>4.6020104416014123</v>
      </c>
      <c r="V24" s="31">
        <f>'Income Statement'!W6/'Balance Sheet'!S15</f>
        <v>1.0568646718087515</v>
      </c>
      <c r="W24" s="31">
        <f>'Income Statement'!X6/'Balance Sheet'!T15</f>
        <v>1.0346119088547217</v>
      </c>
      <c r="X24" s="31">
        <f>'Income Statement'!Y6/'Balance Sheet'!U15</f>
        <v>1.2719802729139622</v>
      </c>
      <c r="Y24" s="31">
        <f>'Income Statement'!Z6/'Balance Sheet'!V15</f>
        <v>1.2421660440261197</v>
      </c>
      <c r="Z24" s="40">
        <f>'Income Statement'!AA6/'Balance Sheet'!V15</f>
        <v>4.7030138537367234</v>
      </c>
      <c r="AB24" t="e">
        <f>NA()</f>
        <v>#N/A</v>
      </c>
    </row>
    <row r="25" spans="1:28" ht="18" customHeight="1" x14ac:dyDescent="0.3">
      <c r="A25" s="36" t="s">
        <v>119</v>
      </c>
      <c r="B25" s="32">
        <f>IFERROR(365/B24,NA())</f>
        <v>416.75680251517758</v>
      </c>
      <c r="C25" s="32">
        <f t="shared" ref="C25:Z25" si="1">IFERROR(365/C24,NA())</f>
        <v>434.32437581638902</v>
      </c>
      <c r="D25" s="32">
        <f t="shared" si="1"/>
        <v>403.42946443293073</v>
      </c>
      <c r="E25" s="32">
        <f>IFERROR(365/E24,NA())</f>
        <v>335.96026562160409</v>
      </c>
      <c r="F25" s="33">
        <f t="shared" si="1"/>
        <v>92.324690307126815</v>
      </c>
      <c r="G25" s="45">
        <f t="shared" si="1"/>
        <v>371.86755890889867</v>
      </c>
      <c r="H25" s="32">
        <f t="shared" si="1"/>
        <v>408.22798649119835</v>
      </c>
      <c r="I25" s="32">
        <f t="shared" si="1"/>
        <v>381.11217263543074</v>
      </c>
      <c r="J25" s="32">
        <f>IFERROR(365/J24,NA())</f>
        <v>364.97406090013283</v>
      </c>
      <c r="K25" s="33">
        <f t="shared" si="1"/>
        <v>105.95085044661759</v>
      </c>
      <c r="L25" s="32">
        <f t="shared" si="1"/>
        <v>326.18035190128381</v>
      </c>
      <c r="M25" s="32">
        <f t="shared" si="1"/>
        <v>369.92806203445718</v>
      </c>
      <c r="N25" s="32">
        <f t="shared" si="1"/>
        <v>362.21321209498535</v>
      </c>
      <c r="O25" s="32">
        <f>IFERROR(365/O24,NA())</f>
        <v>352.10104655452142</v>
      </c>
      <c r="P25" s="33">
        <f t="shared" si="1"/>
        <v>88.917625123566438</v>
      </c>
      <c r="Q25" s="32">
        <f t="shared" si="1"/>
        <v>378.09851832572309</v>
      </c>
      <c r="R25" s="32">
        <f t="shared" si="1"/>
        <v>358.1685680286941</v>
      </c>
      <c r="S25" s="32">
        <f t="shared" si="1"/>
        <v>305.40316434139152</v>
      </c>
      <c r="T25" s="32">
        <f>IFERROR(365/T24,NA())</f>
        <v>295.31363301104193</v>
      </c>
      <c r="U25" s="33">
        <f t="shared" si="1"/>
        <v>79.313162069442612</v>
      </c>
      <c r="V25" s="32">
        <f t="shared" si="1"/>
        <v>345.36115146637223</v>
      </c>
      <c r="W25" s="32">
        <f t="shared" si="1"/>
        <v>352.78928927470196</v>
      </c>
      <c r="X25" s="32">
        <f t="shared" si="1"/>
        <v>286.9541358246276</v>
      </c>
      <c r="Y25" s="32">
        <f>IFERROR(365/Y24,NA())</f>
        <v>293.84155343432082</v>
      </c>
      <c r="Z25" s="41">
        <f t="shared" si="1"/>
        <v>77.60980753012106</v>
      </c>
      <c r="AB25" t="e">
        <f>NA()</f>
        <v>#N/A</v>
      </c>
    </row>
    <row r="26" spans="1:28" ht="18" customHeight="1" x14ac:dyDescent="0.3">
      <c r="A26" s="36" t="s">
        <v>120</v>
      </c>
      <c r="B26" s="31">
        <f>-'Income Statement'!C7/'Balance Sheet'!C42</f>
        <v>0.54479091201473029</v>
      </c>
      <c r="C26" s="31">
        <f>-'Income Statement'!D7/'Balance Sheet'!D42</f>
        <v>0.56641986062505845</v>
      </c>
      <c r="D26" s="31">
        <f>-'Income Statement'!E7/'Balance Sheet'!E42</f>
        <v>0.73340419489213593</v>
      </c>
      <c r="E26" s="31">
        <f>-'Income Statement'!F7/'Balance Sheet'!F42</f>
        <v>0.85982250677048255</v>
      </c>
      <c r="F26" s="30">
        <f>-'Income Statement'!G7/'Balance Sheet'!F42</f>
        <v>3.2044584431789316</v>
      </c>
      <c r="G26" s="44">
        <f>-'Income Statement'!H7/'Balance Sheet'!G42</f>
        <v>0.71862086514157053</v>
      </c>
      <c r="H26" s="31">
        <f>-'Income Statement'!I7/'Balance Sheet'!H42</f>
        <v>0.7705571272348426</v>
      </c>
      <c r="I26" s="31">
        <f>-'Income Statement'!J7/'Balance Sheet'!I42</f>
        <v>0.81364145335097726</v>
      </c>
      <c r="J26" s="31">
        <f>-'Income Statement'!K7/'Balance Sheet'!J42</f>
        <v>0.80711614188960756</v>
      </c>
      <c r="K26" s="30">
        <f>-'Income Statement'!L7/'Balance Sheet'!J42</f>
        <v>2.8667900975677649</v>
      </c>
      <c r="L26" s="31">
        <f>-'Income Statement'!M7/'Balance Sheet'!K42</f>
        <v>0.74129046351066696</v>
      </c>
      <c r="M26" s="31">
        <f>-'Income Statement'!N7/'Balance Sheet'!L42</f>
        <v>0.76312285340809971</v>
      </c>
      <c r="N26" s="31">
        <f>-'Income Statement'!O7/'Balance Sheet'!M42</f>
        <v>0.86190174963439237</v>
      </c>
      <c r="O26" s="31">
        <f>-'Income Statement'!P7/'Balance Sheet'!N42</f>
        <v>0.93068105289423442</v>
      </c>
      <c r="P26" s="30">
        <f>-'Income Statement'!Q7/'Balance Sheet'!N42</f>
        <v>3.3625746359072015</v>
      </c>
      <c r="Q26" s="31">
        <f>-'Income Statement'!R7/'Balance Sheet'!O42</f>
        <v>0.75099141771754363</v>
      </c>
      <c r="R26" s="31">
        <f>-'Income Statement'!S7/'Balance Sheet'!P42</f>
        <v>0.79953474492673116</v>
      </c>
      <c r="S26" s="31">
        <f>-'Income Statement'!T7/'Balance Sheet'!Q42</f>
        <v>0.92561896285514289</v>
      </c>
      <c r="T26" s="31">
        <f>-'Income Statement'!U7/'Balance Sheet'!R42</f>
        <v>0.88888660573379163</v>
      </c>
      <c r="U26" s="30">
        <f>-'Income Statement'!V7/'Balance Sheet'!R42</f>
        <v>3.1557380596200062</v>
      </c>
      <c r="V26" s="31">
        <f>-'Income Statement'!W7/'Balance Sheet'!S42</f>
        <v>1.0105319801437542</v>
      </c>
      <c r="W26" s="31">
        <f>-'Income Statement'!X7/'Balance Sheet'!T42</f>
        <v>1.0889645825465319</v>
      </c>
      <c r="X26" s="31">
        <f>-'Income Statement'!Y7/'Balance Sheet'!U42</f>
        <v>1.0593245773787165</v>
      </c>
      <c r="Y26" s="31">
        <f>-'Income Statement'!Z7/'Balance Sheet'!V42</f>
        <v>1.1057414447048892</v>
      </c>
      <c r="Z26" s="40">
        <f>-'Income Statement'!AA7/'Balance Sheet'!V42</f>
        <v>3.958714031413618</v>
      </c>
      <c r="AB26" t="e">
        <f>NA()</f>
        <v>#N/A</v>
      </c>
    </row>
    <row r="27" spans="1:28" ht="18" customHeight="1" x14ac:dyDescent="0.3">
      <c r="A27" s="36" t="s">
        <v>121</v>
      </c>
      <c r="B27" s="32">
        <f>IFERROR(365/B26,NA())</f>
        <v>669.98180760792684</v>
      </c>
      <c r="C27" s="32">
        <f t="shared" ref="C27:Z27" si="2">IFERROR(365/C26,NA())</f>
        <v>644.39830834535599</v>
      </c>
      <c r="D27" s="32">
        <f t="shared" si="2"/>
        <v>497.67918228730844</v>
      </c>
      <c r="E27" s="32">
        <f>IFERROR(365/E26,NA())</f>
        <v>424.50621741799972</v>
      </c>
      <c r="F27" s="33">
        <f t="shared" si="2"/>
        <v>113.90380199092475</v>
      </c>
      <c r="G27" s="45">
        <f t="shared" si="2"/>
        <v>507.9173423778808</v>
      </c>
      <c r="H27" s="32">
        <f t="shared" si="2"/>
        <v>473.68324436866703</v>
      </c>
      <c r="I27" s="32">
        <f t="shared" si="2"/>
        <v>448.60054572778927</v>
      </c>
      <c r="J27" s="32">
        <f>IFERROR(365/J26,NA())</f>
        <v>452.22735744755119</v>
      </c>
      <c r="K27" s="33">
        <f t="shared" si="2"/>
        <v>127.32009933677126</v>
      </c>
      <c r="L27" s="32">
        <f t="shared" si="2"/>
        <v>492.38458872302454</v>
      </c>
      <c r="M27" s="32">
        <f t="shared" si="2"/>
        <v>478.29782369891467</v>
      </c>
      <c r="N27" s="32">
        <f t="shared" si="2"/>
        <v>423.48214301088063</v>
      </c>
      <c r="O27" s="32">
        <f>IFERROR(365/O26,NA())</f>
        <v>392.18591467498135</v>
      </c>
      <c r="P27" s="33">
        <f t="shared" si="2"/>
        <v>108.54777648720511</v>
      </c>
      <c r="Q27" s="32">
        <f t="shared" si="2"/>
        <v>486.02419600123932</v>
      </c>
      <c r="R27" s="32">
        <f t="shared" si="2"/>
        <v>456.51549518770241</v>
      </c>
      <c r="S27" s="32">
        <f t="shared" si="2"/>
        <v>394.33072856905335</v>
      </c>
      <c r="T27" s="32">
        <f>IFERROR(365/T26,NA())</f>
        <v>410.62605471334115</v>
      </c>
      <c r="U27" s="33">
        <f t="shared" si="2"/>
        <v>115.6623246620003</v>
      </c>
      <c r="V27" s="32">
        <f t="shared" si="2"/>
        <v>361.1958920370601</v>
      </c>
      <c r="W27" s="32">
        <f t="shared" si="2"/>
        <v>335.18078168020071</v>
      </c>
      <c r="X27" s="32">
        <f t="shared" si="2"/>
        <v>344.55917269774602</v>
      </c>
      <c r="Y27" s="32">
        <f>IFERROR(365/Y26,NA())</f>
        <v>330.09525124330912</v>
      </c>
      <c r="Z27" s="41">
        <f t="shared" si="2"/>
        <v>92.20165869613524</v>
      </c>
      <c r="AB27" t="e">
        <f>NA()</f>
        <v>#N/A</v>
      </c>
    </row>
    <row r="28" spans="1:28" ht="18" customHeight="1" x14ac:dyDescent="0.3">
      <c r="A28" s="71" t="s">
        <v>122</v>
      </c>
      <c r="B28" s="72">
        <f>B23+B25-B27</f>
        <v>381.35640491387471</v>
      </c>
      <c r="C28" s="72">
        <f t="shared" ref="C28:Z28" si="3">C23+C25-C27</f>
        <v>462.53430642336946</v>
      </c>
      <c r="D28" s="72">
        <f t="shared" si="3"/>
        <v>561.21569823209722</v>
      </c>
      <c r="E28" s="72">
        <f>E23+E25-E27</f>
        <v>526.75460349475247</v>
      </c>
      <c r="F28" s="73">
        <f t="shared" si="3"/>
        <v>143.51875906370663</v>
      </c>
      <c r="G28" s="74">
        <f t="shared" si="3"/>
        <v>493.51909611945609</v>
      </c>
      <c r="H28" s="72">
        <f t="shared" si="3"/>
        <v>612.25284442698205</v>
      </c>
      <c r="I28" s="72">
        <f t="shared" si="3"/>
        <v>453.0816106869969</v>
      </c>
      <c r="J28" s="72">
        <f>J23+J25-J27</f>
        <v>512.77372350831399</v>
      </c>
      <c r="K28" s="73">
        <f t="shared" si="3"/>
        <v>147.56237043830089</v>
      </c>
      <c r="L28" s="72">
        <f t="shared" si="3"/>
        <v>622.64516071436537</v>
      </c>
      <c r="M28" s="72">
        <f t="shared" si="3"/>
        <v>772.12025917985738</v>
      </c>
      <c r="N28" s="72">
        <f t="shared" si="3"/>
        <v>687.30003751013942</v>
      </c>
      <c r="O28" s="72">
        <f>O23+O25-O27</f>
        <v>616.23678987102357</v>
      </c>
      <c r="P28" s="73">
        <f t="shared" si="3"/>
        <v>162.02414566641261</v>
      </c>
      <c r="Q28" s="72">
        <f t="shared" si="3"/>
        <v>589.68354136994822</v>
      </c>
      <c r="R28" s="72">
        <f t="shared" si="3"/>
        <v>618.1794094880803</v>
      </c>
      <c r="S28" s="72">
        <f t="shared" si="3"/>
        <v>527.89320634759918</v>
      </c>
      <c r="T28" s="72">
        <f>T23+T25-T27</f>
        <v>575.69918322240301</v>
      </c>
      <c r="U28" s="73">
        <f t="shared" si="3"/>
        <v>158.29023662872629</v>
      </c>
      <c r="V28" s="72">
        <f t="shared" si="3"/>
        <v>743.1464261774704</v>
      </c>
      <c r="W28" s="72">
        <f t="shared" si="3"/>
        <v>714.3994650307352</v>
      </c>
      <c r="X28" s="72">
        <f t="shared" si="3"/>
        <v>569.7576053008089</v>
      </c>
      <c r="Y28" s="72">
        <f>Y23+Y25-Y27</f>
        <v>589.10037082550366</v>
      </c>
      <c r="Z28" s="75">
        <f t="shared" si="3"/>
        <v>160.08101123750293</v>
      </c>
      <c r="AB28" t="e">
        <f>NA()</f>
        <v>#N/A</v>
      </c>
    </row>
    <row r="29" spans="1:28" ht="21.75" customHeight="1" x14ac:dyDescent="0.3">
      <c r="A29" s="69" t="s">
        <v>123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8" ht="18" customHeight="1" x14ac:dyDescent="0.3">
      <c r="A30" s="76" t="s">
        <v>124</v>
      </c>
      <c r="B30" s="78">
        <f>('Income Statement'!C24-'Cash Flow'!B39-'Cash Flow'!B48)/AVERAGE('Balance Sheet'!C19,$B$66)</f>
        <v>-8.8181528020153978E-3</v>
      </c>
      <c r="C30" s="79">
        <f>IFERROR(('Income Statement'!D24-'Cash Flow'!C39-'Cash Flow'!C48)/AVERAGE('Balance Sheet'!D19,'Balance Sheet'!C19),"")</f>
        <v>3.3892796880100419E-2</v>
      </c>
      <c r="D30" s="79">
        <f>IFERROR(('Income Statement'!E24-'Cash Flow'!D39-'Cash Flow'!D48)/AVERAGE('Balance Sheet'!E19,'Balance Sheet'!D19),"")</f>
        <v>4.7039357448118366E-3</v>
      </c>
      <c r="E30" s="80">
        <f>IFERROR(('Income Statement'!F24-'Cash Flow'!E39-'Cash Flow'!E48)/AVERAGE('Balance Sheet'!F19,'Balance Sheet'!E19),"")</f>
        <v>-1.6695108897919798E-2</v>
      </c>
      <c r="F30" s="81">
        <f>('Income Statement'!G24-'Cash Flow'!F39-'Cash Flow'!F48)/AVERAGE('Balance Sheet'!F19,$B$66)</f>
        <v>1.3707283883805271E-2</v>
      </c>
      <c r="G30" s="80">
        <f>IFERROR(('Income Statement'!H24-'Cash Flow'!G39-'Cash Flow'!G48)/AVERAGE('Balance Sheet'!G19,'Balance Sheet'!F19),"")</f>
        <v>-1.6707616612628619E-3</v>
      </c>
      <c r="H30" s="79">
        <f>IFERROR(('Income Statement'!I24-'Cash Flow'!H39-'Cash Flow'!H48)/AVERAGE('Balance Sheet'!H19,'Balance Sheet'!G19),"")</f>
        <v>2.5821670705039546E-2</v>
      </c>
      <c r="I30" s="79">
        <f>IFERROR(('Income Statement'!J24-'Cash Flow'!I39-'Cash Flow'!I48)/AVERAGE('Balance Sheet'!I19,'Balance Sheet'!H19),"")</f>
        <v>-3.2525191978640067E-2</v>
      </c>
      <c r="J30" s="79">
        <f>IFERROR(('Income Statement'!K24-'Cash Flow'!J39-'Cash Flow'!J48)/AVERAGE('Balance Sheet'!J19,'Balance Sheet'!I19),"")</f>
        <v>3.4926833287376806E-3</v>
      </c>
      <c r="K30" s="82">
        <f>IFERROR(('Income Statement'!L24-'Cash Flow'!K39-'Cash Flow'!K48)/AVERAGE('Balance Sheet'!J19,'Balance Sheet'!F19),"")</f>
        <v>-6.2876077442270842E-3</v>
      </c>
      <c r="L30" s="79">
        <f>IFERROR(('Income Statement'!M24-'Cash Flow'!L39-'Cash Flow'!L48)/AVERAGE('Balance Sheet'!K19,'Balance Sheet'!J19),"")</f>
        <v>8.1323295623394604E-2</v>
      </c>
      <c r="M30" s="79">
        <f>IFERROR(('Income Statement'!N24-'Cash Flow'!M39-'Cash Flow'!M48)/AVERAGE('Balance Sheet'!L19,'Balance Sheet'!K19),"")</f>
        <v>5.535433091016944E-2</v>
      </c>
      <c r="N30" s="79">
        <f>IFERROR(('Income Statement'!O24-'Cash Flow'!N39-'Cash Flow'!N48)/AVERAGE('Balance Sheet'!M19,'Balance Sheet'!L19),"")</f>
        <v>1.5717044181852997E-3</v>
      </c>
      <c r="O30" s="79">
        <f>IFERROR(('Income Statement'!P24-'Cash Flow'!O39-'Cash Flow'!O48)/AVERAGE('Balance Sheet'!N19,'Balance Sheet'!M19),"")</f>
        <v>-2.2265530927246844E-2</v>
      </c>
      <c r="P30" s="82">
        <f>IFERROR(('Income Statement'!Q24-'Cash Flow'!P39-'Cash Flow'!P48)/AVERAGE('Balance Sheet'!N19,'Balance Sheet'!J19),"")</f>
        <v>0.11244919531186835</v>
      </c>
      <c r="Q30" s="79">
        <f>IFERROR(('Income Statement'!R24-'Cash Flow'!Q39-'Cash Flow'!Q48)/AVERAGE('Balance Sheet'!O19,'Balance Sheet'!N19),"")</f>
        <v>5.4620293503444987E-2</v>
      </c>
      <c r="R30" s="79">
        <f>IFERROR(('Income Statement'!S24-'Cash Flow'!R39-'Cash Flow'!R48)/AVERAGE('Balance Sheet'!P19,'Balance Sheet'!O19),"")</f>
        <v>1.9099562552001206E-2</v>
      </c>
      <c r="S30" s="79">
        <f>IFERROR(('Income Statement'!T24-'Cash Flow'!S39-'Cash Flow'!S48)/AVERAGE('Balance Sheet'!Q19,'Balance Sheet'!P19),"")</f>
        <v>-2.4575767468175625E-2</v>
      </c>
      <c r="T30" s="79">
        <f>IFERROR(('Income Statement'!U24-'Cash Flow'!T39-'Cash Flow'!T48)/AVERAGE('Balance Sheet'!R19,'Balance Sheet'!Q19),"")</f>
        <v>3.2145677706801337E-2</v>
      </c>
      <c r="U30" s="82">
        <f>IFERROR(('Income Statement'!V24-'Cash Flow'!U39-'Cash Flow'!U48)/AVERAGE('Balance Sheet'!R19,'Balance Sheet'!N19),"")</f>
        <v>7.8716870945432477E-2</v>
      </c>
      <c r="V30" s="79">
        <f>IFERROR(('Income Statement'!W24-'Cash Flow'!V39-'Cash Flow'!V48)/AVERAGE('Balance Sheet'!S19,'Balance Sheet'!R19),"")</f>
        <v>7.124124176809489E-2</v>
      </c>
      <c r="W30" s="79">
        <f>IFERROR(('Income Statement'!X24-'Cash Flow'!W39-'Cash Flow'!W48)/AVERAGE('Balance Sheet'!T19,'Balance Sheet'!S19),"")</f>
        <v>6.3579324853130961E-2</v>
      </c>
      <c r="X30" s="79">
        <f>IFERROR(('Income Statement'!Y24-'Cash Flow'!X39-'Cash Flow'!X48)/AVERAGE('Balance Sheet'!U19,'Balance Sheet'!T19),"")</f>
        <v>-2.421494872869932E-2</v>
      </c>
      <c r="Y30" s="83">
        <f>IFERROR(('Income Statement'!Z24-'Cash Flow'!Y39-'Cash Flow'!Y48)/AVERAGE('Balance Sheet'!V19,'Balance Sheet'!U19),"")</f>
        <v>4.3569503023979782E-3</v>
      </c>
      <c r="Z30" s="84">
        <f>IFERROR(('Income Statement'!AA24-'Cash Flow'!Z39-'Cash Flow'!Z48)/AVERAGE('Balance Sheet'!V19,'Balance Sheet'!R19),"")</f>
        <v>0.11324136915171532</v>
      </c>
      <c r="AB30" t="e">
        <f>NA()</f>
        <v>#N/A</v>
      </c>
    </row>
    <row r="31" spans="1:28" ht="18" customHeight="1" x14ac:dyDescent="0.3">
      <c r="A31" s="76" t="s">
        <v>125</v>
      </c>
      <c r="B31" s="85">
        <f>((('Balance Sheet'!C19-'Balance Sheet'!C17)-('Balance Sheet'!C45-'Balance Sheet'!C31-'Balance Sheet'!C32-'Balance Sheet'!C33-'Balance Sheet'!C38-'Balance Sheet'!C40))-$B$74)/AVERAGE((('Balance Sheet'!C19-'Balance Sheet'!C17)-('Balance Sheet'!C45-'Balance Sheet'!C31-'Balance Sheet'!C32-'Balance Sheet'!C33-'Balance Sheet'!C38-'Balance Sheet'!C40)),$B$74)</f>
        <v>2.1136001028996723E-2</v>
      </c>
      <c r="C31" s="86">
        <f>IFERROR(((('Balance Sheet'!D19-'Balance Sheet'!D17)-('Balance Sheet'!D45-'Balance Sheet'!D31-'Balance Sheet'!D32-'Balance Sheet'!D33-'Balance Sheet'!D38-'Balance Sheet'!D40))-(('Balance Sheet'!C19-'Balance Sheet'!C17)-('Balance Sheet'!C45-'Balance Sheet'!C31-'Balance Sheet'!C32-'Balance Sheet'!C33-'Balance Sheet'!C38-'Balance Sheet'!C40)))/AVERAGE((('Balance Sheet'!D19-'Balance Sheet'!D17)-('Balance Sheet'!D45-'Balance Sheet'!D31-'Balance Sheet'!D32-'Balance Sheet'!D33-'Balance Sheet'!D38-'Balance Sheet'!D40)),(('Balance Sheet'!C19-'Balance Sheet'!C17)-('Balance Sheet'!C45-'Balance Sheet'!C31-'Balance Sheet'!C32-'Balance Sheet'!C33-'Balance Sheet'!C38-'Balance Sheet'!C40))),"")</f>
        <v>3.1185548800886014E-2</v>
      </c>
      <c r="D31" s="86">
        <f>IFERROR(((('Balance Sheet'!E19-'Balance Sheet'!E17)-('Balance Sheet'!E45-'Balance Sheet'!E31-'Balance Sheet'!E32-'Balance Sheet'!E33-'Balance Sheet'!E38-'Balance Sheet'!E40))-(('Balance Sheet'!D19-'Balance Sheet'!D17)-('Balance Sheet'!D45-'Balance Sheet'!D31-'Balance Sheet'!D32-'Balance Sheet'!D33-'Balance Sheet'!D38-'Balance Sheet'!D40)))/AVERAGE((('Balance Sheet'!E19-'Balance Sheet'!E17)-('Balance Sheet'!E45-'Balance Sheet'!E31-'Balance Sheet'!E32-'Balance Sheet'!E33-'Balance Sheet'!E38-'Balance Sheet'!E40)),(('Balance Sheet'!D19-'Balance Sheet'!D17)-('Balance Sheet'!D45-'Balance Sheet'!D31-'Balance Sheet'!D32-'Balance Sheet'!D33-'Balance Sheet'!D38-'Balance Sheet'!D40))),"")</f>
        <v>8.4707534636664153E-2</v>
      </c>
      <c r="E31" s="86">
        <f>IFERROR(((('Balance Sheet'!F19-'Balance Sheet'!F17)-('Balance Sheet'!F45-'Balance Sheet'!F31-'Balance Sheet'!F32-'Balance Sheet'!F33-'Balance Sheet'!F38-'Balance Sheet'!F40))-(('Balance Sheet'!E19-'Balance Sheet'!E17)-('Balance Sheet'!E45-'Balance Sheet'!E31-'Balance Sheet'!E32-'Balance Sheet'!E33-'Balance Sheet'!E38-'Balance Sheet'!E40)))/AVERAGE((('Balance Sheet'!F19-'Balance Sheet'!F17)-('Balance Sheet'!F45-'Balance Sheet'!F31-'Balance Sheet'!F32-'Balance Sheet'!F33-'Balance Sheet'!F38-'Balance Sheet'!F40)),(('Balance Sheet'!E19-'Balance Sheet'!E17)-('Balance Sheet'!E45-'Balance Sheet'!E31-'Balance Sheet'!E32-'Balance Sheet'!E33-'Balance Sheet'!E38-'Balance Sheet'!E40))),"")</f>
        <v>-2.9807840726764259E-2</v>
      </c>
      <c r="F31" s="81">
        <f>((('Balance Sheet'!F19-'Balance Sheet'!F17)-('Balance Sheet'!F45-'Balance Sheet'!F31-'Balance Sheet'!F32-'Balance Sheet'!F33-'Balance Sheet'!F38-'Balance Sheet'!F40))-$B$74)/AVERAGE((('Balance Sheet'!F19-'Balance Sheet'!F17)-('Balance Sheet'!F45-'Balance Sheet'!F31-'Balance Sheet'!F32-'Balance Sheet'!F33-'Balance Sheet'!F38-'Balance Sheet'!F40)),$B$74)</f>
        <v>0.10717030408791195</v>
      </c>
      <c r="G31" s="86">
        <f>IFERROR(((('Balance Sheet'!G19-'Balance Sheet'!G17)-('Balance Sheet'!G45-'Balance Sheet'!G31-'Balance Sheet'!G32-'Balance Sheet'!G33-'Balance Sheet'!G38-'Balance Sheet'!G40))-(('Balance Sheet'!F19-'Balance Sheet'!F17)-('Balance Sheet'!F45-'Balance Sheet'!F31-'Balance Sheet'!F32-'Balance Sheet'!F33-'Balance Sheet'!F38-'Balance Sheet'!F40)))/AVERAGE((('Balance Sheet'!G19-'Balance Sheet'!G17)-('Balance Sheet'!G45-'Balance Sheet'!G31-'Balance Sheet'!G32-'Balance Sheet'!G33-'Balance Sheet'!G38-'Balance Sheet'!G40)),(('Balance Sheet'!F19-'Balance Sheet'!F17)-('Balance Sheet'!F45-'Balance Sheet'!F31-'Balance Sheet'!F32-'Balance Sheet'!F33-'Balance Sheet'!F38-'Balance Sheet'!F40))),"")</f>
        <v>1.8898426365701791E-2</v>
      </c>
      <c r="H31" s="87">
        <f>IFERROR(((('Balance Sheet'!H19-'Balance Sheet'!H17)-('Balance Sheet'!H45-'Balance Sheet'!H31-'Balance Sheet'!H32-'Balance Sheet'!H33-'Balance Sheet'!H38-'Balance Sheet'!H40))-(('Balance Sheet'!G19-'Balance Sheet'!G17)-('Balance Sheet'!G45-'Balance Sheet'!G31-'Balance Sheet'!G32-'Balance Sheet'!G33-'Balance Sheet'!G38-'Balance Sheet'!G40)))/AVERAGE((('Balance Sheet'!H19-'Balance Sheet'!H17)-('Balance Sheet'!H45-'Balance Sheet'!H31-'Balance Sheet'!H32-'Balance Sheet'!H33-'Balance Sheet'!H38-'Balance Sheet'!H40)),(('Balance Sheet'!G19-'Balance Sheet'!G17)-('Balance Sheet'!G45-'Balance Sheet'!G31-'Balance Sheet'!G32-'Balance Sheet'!G33-'Balance Sheet'!G38-'Balance Sheet'!G40))),"")</f>
        <v>0.16050330931663917</v>
      </c>
      <c r="I31" s="87">
        <f>IFERROR(((('Balance Sheet'!I19-'Balance Sheet'!I17)-('Balance Sheet'!I45-'Balance Sheet'!I31-'Balance Sheet'!I32-'Balance Sheet'!I33-'Balance Sheet'!I38-'Balance Sheet'!I40))-(('Balance Sheet'!H19-'Balance Sheet'!H17)-('Balance Sheet'!H45-'Balance Sheet'!H31-'Balance Sheet'!H32-'Balance Sheet'!H33-'Balance Sheet'!H38-'Balance Sheet'!H40)))/AVERAGE((('Balance Sheet'!I19-'Balance Sheet'!I17)-('Balance Sheet'!I45-'Balance Sheet'!I31-'Balance Sheet'!I32-'Balance Sheet'!I33-'Balance Sheet'!I38-'Balance Sheet'!I40)),(('Balance Sheet'!H19-'Balance Sheet'!H17)-('Balance Sheet'!H45-'Balance Sheet'!H31-'Balance Sheet'!H32-'Balance Sheet'!H33-'Balance Sheet'!H38-'Balance Sheet'!H40))),"")</f>
        <v>-4.2395898606314236E-2</v>
      </c>
      <c r="J31" s="87">
        <f>IFERROR(((('Balance Sheet'!J19-'Balance Sheet'!J17)-('Balance Sheet'!J45-'Balance Sheet'!J31-'Balance Sheet'!J32-'Balance Sheet'!J33-'Balance Sheet'!J38-'Balance Sheet'!J40))-(('Balance Sheet'!I19-'Balance Sheet'!I17)-('Balance Sheet'!I45-'Balance Sheet'!I31-'Balance Sheet'!I32-'Balance Sheet'!I33-'Balance Sheet'!I38-'Balance Sheet'!I40)))/AVERAGE((('Balance Sheet'!J19-'Balance Sheet'!J17)-('Balance Sheet'!J45-'Balance Sheet'!J31-'Balance Sheet'!J32-'Balance Sheet'!J33-'Balance Sheet'!J38-'Balance Sheet'!J40)),(('Balance Sheet'!I19-'Balance Sheet'!I17)-('Balance Sheet'!I45-'Balance Sheet'!I31-'Balance Sheet'!I32-'Balance Sheet'!I33-'Balance Sheet'!I38-'Balance Sheet'!I40))),"")</f>
        <v>6.8473662679258487E-2</v>
      </c>
      <c r="K31" s="82">
        <f>IFERROR(((('Balance Sheet'!J19-'Balance Sheet'!J17)-('Balance Sheet'!J45-'Balance Sheet'!J31-'Balance Sheet'!J32-'Balance Sheet'!J33-'Balance Sheet'!J38-'Balance Sheet'!J40))-(('Balance Sheet'!F19-'Balance Sheet'!F17)-('Balance Sheet'!F45-'Balance Sheet'!F31-'Balance Sheet'!F32-'Balance Sheet'!F33-'Balance Sheet'!F38-'Balance Sheet'!F40)))/AVERAGE((('Balance Sheet'!J19-'Balance Sheet'!J17)-('Balance Sheet'!J45-'Balance Sheet'!J31-'Balance Sheet'!J32-'Balance Sheet'!J33-'Balance Sheet'!J38-'Balance Sheet'!J40)),(('Balance Sheet'!F19-'Balance Sheet'!F17)-('Balance Sheet'!F45-'Balance Sheet'!F31-'Balance Sheet'!F32-'Balance Sheet'!F33-'Balance Sheet'!F38-'Balance Sheet'!F40))),"")</f>
        <v>0.20512259600349861</v>
      </c>
      <c r="L31" s="86">
        <f>IFERROR(((('Balance Sheet'!K19-'Balance Sheet'!K17)-('Balance Sheet'!K45-'Balance Sheet'!K31-'Balance Sheet'!K32-'Balance Sheet'!K33-'Balance Sheet'!K38-'Balance Sheet'!K40))-(('Balance Sheet'!J19-'Balance Sheet'!J17)-('Balance Sheet'!J45-'Balance Sheet'!J31-'Balance Sheet'!J32-'Balance Sheet'!J33-'Balance Sheet'!J38-'Balance Sheet'!J40)))/AVERAGE((('Balance Sheet'!K19-'Balance Sheet'!K17)-('Balance Sheet'!K45-'Balance Sheet'!K31-'Balance Sheet'!K32-'Balance Sheet'!K33-'Balance Sheet'!K38-'Balance Sheet'!K40)),(('Balance Sheet'!J19-'Balance Sheet'!J17)-('Balance Sheet'!J45-'Balance Sheet'!J31-'Balance Sheet'!J32-'Balance Sheet'!J33-'Balance Sheet'!J38-'Balance Sheet'!J40))),"")</f>
        <v>0.12254414245248497</v>
      </c>
      <c r="M31" s="86">
        <f>IFERROR(((('Balance Sheet'!L19-'Balance Sheet'!L17)-('Balance Sheet'!L45-'Balance Sheet'!L31-'Balance Sheet'!L32-'Balance Sheet'!L33-'Balance Sheet'!L38-'Balance Sheet'!L40))-(('Balance Sheet'!K19-'Balance Sheet'!K17)-('Balance Sheet'!K45-'Balance Sheet'!K31-'Balance Sheet'!K32-'Balance Sheet'!K33-'Balance Sheet'!K38-'Balance Sheet'!K40)))/AVERAGE((('Balance Sheet'!L19-'Balance Sheet'!L17)-('Balance Sheet'!L45-'Balance Sheet'!L31-'Balance Sheet'!L32-'Balance Sheet'!L33-'Balance Sheet'!L38-'Balance Sheet'!L40)),(('Balance Sheet'!K19-'Balance Sheet'!K17)-('Balance Sheet'!K45-'Balance Sheet'!K31-'Balance Sheet'!K32-'Balance Sheet'!K33-'Balance Sheet'!K38-'Balance Sheet'!K40))),"")</f>
        <v>8.9699732998829718E-2</v>
      </c>
      <c r="N31" s="86">
        <f>IFERROR(((('Balance Sheet'!M19-'Balance Sheet'!M17)-('Balance Sheet'!M45-'Balance Sheet'!M31-'Balance Sheet'!M32-'Balance Sheet'!M33-'Balance Sheet'!M38-'Balance Sheet'!M40))-(('Balance Sheet'!L19-'Balance Sheet'!L17)-('Balance Sheet'!L45-'Balance Sheet'!L31-'Balance Sheet'!L32-'Balance Sheet'!L33-'Balance Sheet'!L38-'Balance Sheet'!L40)))/AVERAGE((('Balance Sheet'!M19-'Balance Sheet'!M17)-('Balance Sheet'!M45-'Balance Sheet'!M31-'Balance Sheet'!M32-'Balance Sheet'!M33-'Balance Sheet'!M38-'Balance Sheet'!M40)),(('Balance Sheet'!L19-'Balance Sheet'!L17)-('Balance Sheet'!L45-'Balance Sheet'!L31-'Balance Sheet'!L32-'Balance Sheet'!L33-'Balance Sheet'!L38-'Balance Sheet'!L40))),"")</f>
        <v>-1.1314771772258521E-3</v>
      </c>
      <c r="O31" s="86">
        <f>IFERROR(((('Balance Sheet'!N19-'Balance Sheet'!N17)-('Balance Sheet'!N45-'Balance Sheet'!N31-'Balance Sheet'!N32-'Balance Sheet'!N33-'Balance Sheet'!N38-'Balance Sheet'!N40))-(('Balance Sheet'!M19-'Balance Sheet'!M17)-('Balance Sheet'!M45-'Balance Sheet'!M31-'Balance Sheet'!M32-'Balance Sheet'!M33-'Balance Sheet'!M38-'Balance Sheet'!M40)))/AVERAGE((('Balance Sheet'!N19-'Balance Sheet'!N17)-('Balance Sheet'!N45-'Balance Sheet'!N31-'Balance Sheet'!N32-'Balance Sheet'!N33-'Balance Sheet'!N38-'Balance Sheet'!N40)),(('Balance Sheet'!M19-'Balance Sheet'!M17)-('Balance Sheet'!M45-'Balance Sheet'!M31-'Balance Sheet'!M32-'Balance Sheet'!M33-'Balance Sheet'!M38-'Balance Sheet'!M40))),"")</f>
        <v>-3.0923051532379304E-2</v>
      </c>
      <c r="P31" s="82">
        <f>IFERROR(((('Balance Sheet'!N19-'Balance Sheet'!N17)-('Balance Sheet'!N45-'Balance Sheet'!N31-'Balance Sheet'!N32-'Balance Sheet'!N33-'Balance Sheet'!N38-'Balance Sheet'!N40))-(('Balance Sheet'!J19-'Balance Sheet'!J17)-('Balance Sheet'!J45-'Balance Sheet'!J31-'Balance Sheet'!J32-'Balance Sheet'!J33-'Balance Sheet'!J38-'Balance Sheet'!J40)))/AVERAGE((('Balance Sheet'!N19-'Balance Sheet'!N17)-('Balance Sheet'!N45-'Balance Sheet'!N31-'Balance Sheet'!N32-'Balance Sheet'!N33-'Balance Sheet'!N38-'Balance Sheet'!N40)),(('Balance Sheet'!J19-'Balance Sheet'!J17)-('Balance Sheet'!J45-'Balance Sheet'!J31-'Balance Sheet'!J32-'Balance Sheet'!J33-'Balance Sheet'!J38-'Balance Sheet'!J40))),"")</f>
        <v>0.17991313294921771</v>
      </c>
      <c r="Q31" s="86">
        <f>IFERROR(((('Balance Sheet'!O19-'Balance Sheet'!O17)-('Balance Sheet'!O45-'Balance Sheet'!O31-'Balance Sheet'!O32-'Balance Sheet'!O33-'Balance Sheet'!O38-'Balance Sheet'!O40))-(('Balance Sheet'!N19-'Balance Sheet'!N17)-('Balance Sheet'!N45-'Balance Sheet'!N31-'Balance Sheet'!N32-'Balance Sheet'!N33-'Balance Sheet'!N38-'Balance Sheet'!N40)))/AVERAGE((('Balance Sheet'!O19-'Balance Sheet'!O17)-('Balance Sheet'!O45-'Balance Sheet'!O31-'Balance Sheet'!O32-'Balance Sheet'!O33-'Balance Sheet'!O38-'Balance Sheet'!O40)),(('Balance Sheet'!N19-'Balance Sheet'!N17)-('Balance Sheet'!N45-'Balance Sheet'!N31-'Balance Sheet'!N32-'Balance Sheet'!N33-'Balance Sheet'!N38-'Balance Sheet'!N40))),"")</f>
        <v>4.0148434172782126E-2</v>
      </c>
      <c r="R31" s="86">
        <f>IFERROR(((('Balance Sheet'!P19-'Balance Sheet'!P17)-('Balance Sheet'!P45-'Balance Sheet'!P31-'Balance Sheet'!P32-'Balance Sheet'!P33-'Balance Sheet'!P38-'Balance Sheet'!P40))-(('Balance Sheet'!O19-'Balance Sheet'!O17)-('Balance Sheet'!O45-'Balance Sheet'!O31-'Balance Sheet'!O32-'Balance Sheet'!O33-'Balance Sheet'!O38-'Balance Sheet'!O40)))/AVERAGE((('Balance Sheet'!P19-'Balance Sheet'!P17)-('Balance Sheet'!P45-'Balance Sheet'!P31-'Balance Sheet'!P32-'Balance Sheet'!P33-'Balance Sheet'!P38-'Balance Sheet'!P40)),(('Balance Sheet'!O19-'Balance Sheet'!O17)-('Balance Sheet'!O45-'Balance Sheet'!O31-'Balance Sheet'!O32-'Balance Sheet'!O33-'Balance Sheet'!O38-'Balance Sheet'!O40))),"")</f>
        <v>0.10790526748051582</v>
      </c>
      <c r="S31" s="86">
        <f>IFERROR(((('Balance Sheet'!Q19-'Balance Sheet'!Q17)-('Balance Sheet'!Q45-'Balance Sheet'!Q31-'Balance Sheet'!Q32-'Balance Sheet'!Q33-'Balance Sheet'!Q38-'Balance Sheet'!Q40))-(('Balance Sheet'!P19-'Balance Sheet'!P17)-('Balance Sheet'!P45-'Balance Sheet'!P31-'Balance Sheet'!P32-'Balance Sheet'!P33-'Balance Sheet'!P38-'Balance Sheet'!P40)))/AVERAGE((('Balance Sheet'!Q19-'Balance Sheet'!Q17)-('Balance Sheet'!Q45-'Balance Sheet'!Q31-'Balance Sheet'!Q32-'Balance Sheet'!Q33-'Balance Sheet'!Q38-'Balance Sheet'!Q40)),(('Balance Sheet'!P19-'Balance Sheet'!P17)-('Balance Sheet'!P45-'Balance Sheet'!P31-'Balance Sheet'!P32-'Balance Sheet'!P33-'Balance Sheet'!P38-'Balance Sheet'!P40))),"")</f>
        <v>0.1835371013224105</v>
      </c>
      <c r="T31" s="86">
        <f>IFERROR(((('Balance Sheet'!R19-'Balance Sheet'!R17)-('Balance Sheet'!R45-'Balance Sheet'!R31-'Balance Sheet'!R32-'Balance Sheet'!R33-'Balance Sheet'!R38-'Balance Sheet'!R40))-(('Balance Sheet'!Q19-'Balance Sheet'!Q17)-('Balance Sheet'!Q45-'Balance Sheet'!Q31-'Balance Sheet'!Q32-'Balance Sheet'!Q33-'Balance Sheet'!Q38-'Balance Sheet'!Q40)))/AVERAGE((('Balance Sheet'!R19-'Balance Sheet'!R17)-('Balance Sheet'!R45-'Balance Sheet'!R31-'Balance Sheet'!R32-'Balance Sheet'!R33-'Balance Sheet'!R38-'Balance Sheet'!R40)),(('Balance Sheet'!Q19-'Balance Sheet'!Q17)-('Balance Sheet'!Q45-'Balance Sheet'!Q31-'Balance Sheet'!Q32-'Balance Sheet'!Q33-'Balance Sheet'!Q38-'Balance Sheet'!Q40))),"")</f>
        <v>-3.3118656919383781E-2</v>
      </c>
      <c r="U31" s="82">
        <f>IFERROR(((('Balance Sheet'!R19-'Balance Sheet'!R17)-('Balance Sheet'!R45-'Balance Sheet'!R31-'Balance Sheet'!R32-'Balance Sheet'!R33-'Balance Sheet'!R38-'Balance Sheet'!R40))-(('Balance Sheet'!N19-'Balance Sheet'!N17)-('Balance Sheet'!N45-'Balance Sheet'!N31-'Balance Sheet'!N32-'Balance Sheet'!N33-'Balance Sheet'!N38-'Balance Sheet'!N40)))/AVERAGE((('Balance Sheet'!R19-'Balance Sheet'!R17)-('Balance Sheet'!R45-'Balance Sheet'!R31-'Balance Sheet'!R32-'Balance Sheet'!R33-'Balance Sheet'!R38-'Balance Sheet'!R40)),(('Balance Sheet'!N19-'Balance Sheet'!N17)-('Balance Sheet'!N45-'Balance Sheet'!N31-'Balance Sheet'!N32-'Balance Sheet'!N33-'Balance Sheet'!N38-'Balance Sheet'!N40))),"")</f>
        <v>0.29688725157530405</v>
      </c>
      <c r="V31" s="86">
        <f>IFERROR(((('Balance Sheet'!S19-'Balance Sheet'!S17)-('Balance Sheet'!S45-'Balance Sheet'!S31-'Balance Sheet'!S32-'Balance Sheet'!S33-'Balance Sheet'!S38-'Balance Sheet'!S40))-(('Balance Sheet'!R19-'Balance Sheet'!R17)-('Balance Sheet'!R45-'Balance Sheet'!R31-'Balance Sheet'!R32-'Balance Sheet'!R33-'Balance Sheet'!R38-'Balance Sheet'!R40)))/AVERAGE((('Balance Sheet'!S19-'Balance Sheet'!S17)-('Balance Sheet'!S45-'Balance Sheet'!S31-'Balance Sheet'!S32-'Balance Sheet'!S33-'Balance Sheet'!S38-'Balance Sheet'!S40)),(('Balance Sheet'!R19-'Balance Sheet'!R17)-('Balance Sheet'!R45-'Balance Sheet'!R31-'Balance Sheet'!R32-'Balance Sheet'!R33-'Balance Sheet'!R38-'Balance Sheet'!R40))),"")</f>
        <v>0.10750325248716462</v>
      </c>
      <c r="W31" s="86">
        <f>IFERROR(((('Balance Sheet'!T19-'Balance Sheet'!T17)-('Balance Sheet'!T45-'Balance Sheet'!T31-'Balance Sheet'!T32-'Balance Sheet'!T33-'Balance Sheet'!T38-'Balance Sheet'!T40))-(('Balance Sheet'!S19-'Balance Sheet'!S17)-('Balance Sheet'!S45-'Balance Sheet'!S31-'Balance Sheet'!S32-'Balance Sheet'!S33-'Balance Sheet'!S38-'Balance Sheet'!S40)))/AVERAGE((('Balance Sheet'!T19-'Balance Sheet'!T17)-('Balance Sheet'!T45-'Balance Sheet'!T31-'Balance Sheet'!T32-'Balance Sheet'!T33-'Balance Sheet'!T38-'Balance Sheet'!T40)),(('Balance Sheet'!S19-'Balance Sheet'!S17)-('Balance Sheet'!S45-'Balance Sheet'!S31-'Balance Sheet'!S32-'Balance Sheet'!S33-'Balance Sheet'!S38-'Balance Sheet'!S40))),"")</f>
        <v>9.3108404012373275E-2</v>
      </c>
      <c r="X31" s="86">
        <f>IFERROR(((('Balance Sheet'!U19-'Balance Sheet'!U17)-('Balance Sheet'!U45-'Balance Sheet'!U31-'Balance Sheet'!U32-'Balance Sheet'!U33-'Balance Sheet'!U38-'Balance Sheet'!U40))-(('Balance Sheet'!T19-'Balance Sheet'!T17)-('Balance Sheet'!T45-'Balance Sheet'!T31-'Balance Sheet'!T32-'Balance Sheet'!T33-'Balance Sheet'!T38-'Balance Sheet'!T40)))/AVERAGE((('Balance Sheet'!U19-'Balance Sheet'!U17)-('Balance Sheet'!U45-'Balance Sheet'!U31-'Balance Sheet'!U32-'Balance Sheet'!U33-'Balance Sheet'!U38-'Balance Sheet'!U40)),(('Balance Sheet'!T19-'Balance Sheet'!T17)-('Balance Sheet'!T45-'Balance Sheet'!T31-'Balance Sheet'!T32-'Balance Sheet'!T33-'Balance Sheet'!T38-'Balance Sheet'!T40))),"")</f>
        <v>-4.1698304472166256E-2</v>
      </c>
      <c r="Y31" s="88">
        <f>IFERROR(((('Balance Sheet'!V19-'Balance Sheet'!V17)-('Balance Sheet'!V45-'Balance Sheet'!V31-'Balance Sheet'!V32-'Balance Sheet'!V33-'Balance Sheet'!V38-'Balance Sheet'!V40))-(('Balance Sheet'!U19-'Balance Sheet'!U17)-('Balance Sheet'!U45-'Balance Sheet'!U31-'Balance Sheet'!U32-'Balance Sheet'!U33-'Balance Sheet'!U38-'Balance Sheet'!U40)))/AVERAGE((('Balance Sheet'!V19-'Balance Sheet'!V17)-('Balance Sheet'!V45-'Balance Sheet'!V31-'Balance Sheet'!V32-'Balance Sheet'!V33-'Balance Sheet'!V38-'Balance Sheet'!V40)),(('Balance Sheet'!U19-'Balance Sheet'!U17)-('Balance Sheet'!U45-'Balance Sheet'!U31-'Balance Sheet'!U32-'Balance Sheet'!U33-'Balance Sheet'!U38-'Balance Sheet'!U40))),"")</f>
        <v>-3.0975344451768553E-4</v>
      </c>
      <c r="Z31" s="89">
        <f>IFERROR(((('Balance Sheet'!V19-'Balance Sheet'!V17)-('Balance Sheet'!V45-'Balance Sheet'!V31-'Balance Sheet'!V32-'Balance Sheet'!V33-'Balance Sheet'!V38-'Balance Sheet'!V40))-(('Balance Sheet'!R19-'Balance Sheet'!R17)-('Balance Sheet'!R45-'Balance Sheet'!R31-'Balance Sheet'!R32-'Balance Sheet'!R33-'Balance Sheet'!R38-'Balance Sheet'!R40)))/AVERAGE((('Balance Sheet'!V19-'Balance Sheet'!V17)-('Balance Sheet'!V45-'Balance Sheet'!V31-'Balance Sheet'!V32-'Balance Sheet'!V33-'Balance Sheet'!V38-'Balance Sheet'!V40)),(('Balance Sheet'!R19-'Balance Sheet'!R17)-('Balance Sheet'!R45-'Balance Sheet'!R31-'Balance Sheet'!R32-'Balance Sheet'!R33-'Balance Sheet'!R38-'Balance Sheet'!R40))),"")</f>
        <v>0.15843594667003738</v>
      </c>
      <c r="AB31" t="e">
        <f>NA()</f>
        <v>#N/A</v>
      </c>
    </row>
    <row r="32" spans="1:28" ht="18" customHeight="1" x14ac:dyDescent="0.3">
      <c r="A32" s="68" t="s">
        <v>126</v>
      </c>
      <c r="B32" s="92">
        <f>IFERROR('Cash Flow'!B33/'Income Statement'!C16,"")</f>
        <v>2.4973060931957711</v>
      </c>
      <c r="C32" s="90">
        <f>IFERROR('Cash Flow'!C33/'Income Statement'!D16,"")</f>
        <v>-13.21288956606829</v>
      </c>
      <c r="D32" s="90">
        <f>IFERROR('Cash Flow'!D33/'Income Statement'!E16,"")</f>
        <v>-3.3488211261573997</v>
      </c>
      <c r="E32" s="90">
        <f>IFERROR('Cash Flow'!E33/'Income Statement'!F16,"")</f>
        <v>6.7298601576294628</v>
      </c>
      <c r="F32" s="91">
        <f>IFERROR('Cash Flow'!F33/'Income Statement'!G16,"")</f>
        <v>2.7594422362184559</v>
      </c>
      <c r="G32" s="90">
        <f>IFERROR('Cash Flow'!G33/'Income Statement'!H16,"")</f>
        <v>2.7161459745070959</v>
      </c>
      <c r="H32" s="90">
        <f>IFERROR('Cash Flow'!H33/'Income Statement'!I16,"")</f>
        <v>3.4288696134397427</v>
      </c>
      <c r="I32" s="90">
        <f>IFERROR('Cash Flow'!I33/'Income Statement'!J16,"")</f>
        <v>-1.4611004104830903</v>
      </c>
      <c r="J32" s="90">
        <f>IFERROR('Cash Flow'!J33/'Income Statement'!K16,"")</f>
        <v>2.6876141484195353</v>
      </c>
      <c r="K32" s="91">
        <f>IFERROR('Cash Flow'!K33/'Income Statement'!L16,"")</f>
        <v>-8.9688553538201923</v>
      </c>
      <c r="L32" s="90">
        <f>IFERROR('Cash Flow'!L33/'Income Statement'!M16,"")</f>
        <v>-0.85350570482882238</v>
      </c>
      <c r="M32" s="90">
        <f>IFERROR('Cash Flow'!M33/'Income Statement'!N16,"")</f>
        <v>0.20858038798078077</v>
      </c>
      <c r="N32" s="90">
        <f>IFERROR('Cash Flow'!N33/'Income Statement'!O16,"")</f>
        <v>1.2365590324502098</v>
      </c>
      <c r="O32" s="90">
        <f>IFERROR('Cash Flow'!O33/'Income Statement'!P16,"")</f>
        <v>2.3948130517769157</v>
      </c>
      <c r="P32" s="91">
        <f>IFERROR('Cash Flow'!P33/'Income Statement'!Q16,"")</f>
        <v>0.45421170164371488</v>
      </c>
      <c r="Q32" s="90">
        <f>IFERROR('Cash Flow'!Q33/'Income Statement'!R16,"")</f>
        <v>1.4335861898135043</v>
      </c>
      <c r="R32" s="90">
        <f>IFERROR('Cash Flow'!R33/'Income Statement'!S16,"")</f>
        <v>0.15154397184723256</v>
      </c>
      <c r="S32" s="90">
        <f>IFERROR('Cash Flow'!S33/'Income Statement'!T16,"")</f>
        <v>0.91331577039932799</v>
      </c>
      <c r="T32" s="90">
        <f>IFERROR('Cash Flow'!T33/'Income Statement'!U16,"")</f>
        <v>1.0513558315111995</v>
      </c>
      <c r="U32" s="91">
        <f>IFERROR('Cash Flow'!U33/'Income Statement'!V16,"")</f>
        <v>0.88052392999740048</v>
      </c>
      <c r="V32" s="90">
        <f>IFERROR('Cash Flow'!V33/'Income Statement'!W16,"")</f>
        <v>-1.0957792993635718</v>
      </c>
      <c r="W32" s="90">
        <f>IFERROR('Cash Flow'!W33/'Income Statement'!X16,"")</f>
        <v>-0.14181658377594894</v>
      </c>
      <c r="X32" s="90">
        <f>IFERROR('Cash Flow'!X33/'Income Statement'!Y16,"")</f>
        <v>1.9862282493626451</v>
      </c>
      <c r="Y32" s="93">
        <f>IFERROR('Cash Flow'!Y33/'Income Statement'!Z16,"")</f>
        <v>1.4072221194790686</v>
      </c>
      <c r="Z32" s="94">
        <f>IFERROR('Cash Flow'!Z33/'Income Statement'!AA16,"")</f>
        <v>0.57883063389209877</v>
      </c>
      <c r="AB32">
        <f>IFERROR('Cash Flow'!AB33/'Income Statement'!AB16,"")</f>
        <v>-3.1504058802747998</v>
      </c>
    </row>
    <row r="33" spans="1:28" x14ac:dyDescent="0.3">
      <c r="A33" s="66" t="s">
        <v>196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8" x14ac:dyDescent="0.3">
      <c r="A34" s="76" t="s">
        <v>194</v>
      </c>
      <c r="B34" s="95">
        <f>IFERROR('Cash Flow'!B39+'Cash Flow'!B41+'Cash Flow'!B50+'Cash Flow'!B54,"")</f>
        <v>6633717</v>
      </c>
      <c r="C34" s="96">
        <f>IFERROR('Cash Flow'!C39+'Cash Flow'!C41+'Cash Flow'!C50+'Cash Flow'!C54,"")</f>
        <v>35255729</v>
      </c>
      <c r="D34" s="96">
        <f>IFERROR('Cash Flow'!D39+'Cash Flow'!D41+'Cash Flow'!D50+'Cash Flow'!D54,"")</f>
        <v>-4978537</v>
      </c>
      <c r="E34" s="96">
        <f>IFERROR('Cash Flow'!E39+'Cash Flow'!E41+'Cash Flow'!E50+'Cash Flow'!E54,"")</f>
        <v>-6908155</v>
      </c>
      <c r="F34" s="97">
        <f>IFERROR('Cash Flow'!F39+'Cash Flow'!F41+'Cash Flow'!F50+'Cash Flow'!F54,"")</f>
        <v>30002754</v>
      </c>
      <c r="G34" s="96">
        <f>IFERROR('Cash Flow'!G39+'Cash Flow'!G41+'Cash Flow'!G50+'Cash Flow'!G54,"")</f>
        <v>121044042</v>
      </c>
      <c r="H34" s="96">
        <f>IFERROR('Cash Flow'!H39+'Cash Flow'!H41+'Cash Flow'!H50+'Cash Flow'!H54,"")</f>
        <v>-28946657</v>
      </c>
      <c r="I34" s="96">
        <f>IFERROR('Cash Flow'!I39+'Cash Flow'!I41+'Cash Flow'!I50+'Cash Flow'!I54,"")</f>
        <v>173129162</v>
      </c>
      <c r="J34" s="96">
        <f>IFERROR('Cash Flow'!J39+'Cash Flow'!J41+'Cash Flow'!J50+'Cash Flow'!J54,"")</f>
        <v>158309425</v>
      </c>
      <c r="K34" s="97">
        <f>IFERROR('Cash Flow'!K39+'Cash Flow'!K41+'Cash Flow'!K50+'Cash Flow'!K54,"")</f>
        <v>423535972</v>
      </c>
      <c r="L34" s="96">
        <f>IFERROR('Cash Flow'!L39+'Cash Flow'!L41+'Cash Flow'!L50+'Cash Flow'!L54,"")</f>
        <v>-166832805</v>
      </c>
      <c r="M34" s="96">
        <f>IFERROR('Cash Flow'!M39+'Cash Flow'!M41+'Cash Flow'!M50+'Cash Flow'!M54,"")</f>
        <v>12509638</v>
      </c>
      <c r="N34" s="96">
        <f>IFERROR('Cash Flow'!N39+'Cash Flow'!N41+'Cash Flow'!N50+'Cash Flow'!N54,"")</f>
        <v>77612576</v>
      </c>
      <c r="O34" s="96">
        <f>IFERROR('Cash Flow'!O39+'Cash Flow'!O41+'Cash Flow'!O50+'Cash Flow'!O54,"")</f>
        <v>52864591</v>
      </c>
      <c r="P34" s="97">
        <f>IFERROR('Cash Flow'!P39+'Cash Flow'!P41+'Cash Flow'!P50+'Cash Flow'!P54,"")</f>
        <v>-24692785</v>
      </c>
      <c r="Q34" s="96">
        <f>IFERROR('Cash Flow'!Q39+'Cash Flow'!Q41+'Cash Flow'!Q50+'Cash Flow'!Q54,"")</f>
        <v>122917473</v>
      </c>
      <c r="R34" s="96">
        <f>IFERROR('Cash Flow'!R39+'Cash Flow'!R41+'Cash Flow'!R50+'Cash Flow'!R54,"")</f>
        <v>-220662604</v>
      </c>
      <c r="S34" s="96">
        <f>IFERROR('Cash Flow'!S39+'Cash Flow'!S41+'Cash Flow'!S50+'Cash Flow'!S54,"")</f>
        <v>333354828</v>
      </c>
      <c r="T34" s="96">
        <f>IFERROR('Cash Flow'!T39+'Cash Flow'!T41+'Cash Flow'!T50+'Cash Flow'!T54,"")</f>
        <v>-462969787</v>
      </c>
      <c r="U34" s="97">
        <f>IFERROR('Cash Flow'!U39+'Cash Flow'!U41+'Cash Flow'!U50+'Cash Flow'!U54,"")</f>
        <v>-227360090</v>
      </c>
      <c r="V34" s="96">
        <f>IFERROR('Cash Flow'!V39+'Cash Flow'!V41+'Cash Flow'!V50+'Cash Flow'!V54,"")</f>
        <v>12020297</v>
      </c>
      <c r="W34" s="96">
        <f>IFERROR('Cash Flow'!W39+'Cash Flow'!W41+'Cash Flow'!W50+'Cash Flow'!W54,"")</f>
        <v>10348228</v>
      </c>
      <c r="X34" s="96">
        <f>IFERROR('Cash Flow'!X39+'Cash Flow'!X41+'Cash Flow'!X50+'Cash Flow'!X54,"")</f>
        <v>10656257</v>
      </c>
      <c r="Y34" s="98">
        <f>IFERROR('Cash Flow'!Y39+'Cash Flow'!Y41+'Cash Flow'!Y50+'Cash Flow'!Y54,"")</f>
        <v>-27055391</v>
      </c>
      <c r="Z34" s="99">
        <f>IFERROR('Cash Flow'!Z39+'Cash Flow'!Z41+'Cash Flow'!Z50+'Cash Flow'!Z54,"")</f>
        <v>5969391</v>
      </c>
      <c r="AB34">
        <f>IFERROR('Cash Flow'!AB39+'Cash Flow'!AB41+'Cash Flow'!AB50+'Cash Flow'!AB54,"")</f>
        <v>238969528</v>
      </c>
    </row>
    <row r="35" spans="1:28" x14ac:dyDescent="0.3">
      <c r="A35" s="77" t="s">
        <v>195</v>
      </c>
      <c r="B35" s="100">
        <f>IFERROR('Cash Flow'!B39+'Cash Flow'!B41,"")</f>
        <v>11476511</v>
      </c>
      <c r="C35" s="101">
        <f>IFERROR('Cash Flow'!C39+'Cash Flow'!C41,"")</f>
        <v>-116450050</v>
      </c>
      <c r="D35" s="101">
        <f>IFERROR('Cash Flow'!D39+'Cash Flow'!D41,"")</f>
        <v>-20730409</v>
      </c>
      <c r="E35" s="101">
        <f>IFERROR('Cash Flow'!E39+'Cash Flow'!E41,"")</f>
        <v>55645810</v>
      </c>
      <c r="F35" s="102">
        <f>IFERROR('Cash Flow'!F39+'Cash Flow'!F41,"")</f>
        <v>-70058138</v>
      </c>
      <c r="G35" s="101">
        <f>IFERROR('Cash Flow'!G39+'Cash Flow'!G41,"")</f>
        <v>39278853</v>
      </c>
      <c r="H35" s="101">
        <f>IFERROR('Cash Flow'!H39+'Cash Flow'!H41,"")</f>
        <v>-176190432</v>
      </c>
      <c r="I35" s="101">
        <f>IFERROR('Cash Flow'!I39+'Cash Flow'!I41,"")</f>
        <v>130117512</v>
      </c>
      <c r="J35" s="101">
        <f>IFERROR('Cash Flow'!J39+'Cash Flow'!J41,"")</f>
        <v>28384518</v>
      </c>
      <c r="K35" s="102">
        <f>IFERROR('Cash Flow'!K39+'Cash Flow'!K41,"")</f>
        <v>21590451</v>
      </c>
      <c r="L35" s="101">
        <f>IFERROR('Cash Flow'!L39+'Cash Flow'!L41,"")</f>
        <v>-305586054</v>
      </c>
      <c r="M35" s="101">
        <f>IFERROR('Cash Flow'!M39+'Cash Flow'!M41,"")</f>
        <v>-113985453</v>
      </c>
      <c r="N35" s="101">
        <f>IFERROR('Cash Flow'!N39+'Cash Flow'!N41,"")</f>
        <v>78596667</v>
      </c>
      <c r="O35" s="101">
        <f>IFERROR('Cash Flow'!O39+'Cash Flow'!O41,"")</f>
        <v>214661246</v>
      </c>
      <c r="P35" s="102">
        <f>IFERROR('Cash Flow'!P39+'Cash Flow'!P41,"")</f>
        <v>-127160379</v>
      </c>
      <c r="Q35" s="101">
        <f>IFERROR('Cash Flow'!Q39+'Cash Flow'!Q41,"")</f>
        <v>321342270</v>
      </c>
      <c r="R35" s="101">
        <f>IFERROR('Cash Flow'!R39+'Cash Flow'!R41,"")</f>
        <v>-266550553</v>
      </c>
      <c r="S35" s="101">
        <f>IFERROR('Cash Flow'!S39+'Cash Flow'!S41,"")</f>
        <v>188183607</v>
      </c>
      <c r="T35" s="101">
        <f>IFERROR('Cash Flow'!T39+'Cash Flow'!T41,"")</f>
        <v>9141151</v>
      </c>
      <c r="U35" s="102">
        <f>IFERROR('Cash Flow'!U39+'Cash Flow'!U41,"")</f>
        <v>252116475</v>
      </c>
      <c r="V35" s="101">
        <f>IFERROR('Cash Flow'!V39+'Cash Flow'!V41,"")</f>
        <v>-471227959</v>
      </c>
      <c r="W35" s="101">
        <f>IFERROR('Cash Flow'!W39+'Cash Flow'!W41,"")</f>
        <v>-471777236</v>
      </c>
      <c r="X35" s="101">
        <f>IFERROR('Cash Flow'!X39+'Cash Flow'!X41,"")</f>
        <v>309595619</v>
      </c>
      <c r="Y35" s="103">
        <f>IFERROR('Cash Flow'!Y39+'Cash Flow'!Y41,"")</f>
        <v>-29327846</v>
      </c>
      <c r="Z35" s="104">
        <f>IFERROR('Cash Flow'!Z39+'Cash Flow'!Z41,"")</f>
        <v>-662737422</v>
      </c>
      <c r="AB35">
        <f>IFERROR('Cash Flow'!AB39+'Cash Flow'!AB41,"")</f>
        <v>294675617</v>
      </c>
    </row>
    <row r="36" spans="1:28" x14ac:dyDescent="0.3">
      <c r="A36" s="122" t="s">
        <v>198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8" x14ac:dyDescent="0.3">
      <c r="A37" s="120" t="s">
        <v>199</v>
      </c>
      <c r="B37" s="123">
        <f>IFERROR('Cash Flow'!B39/'Income Statement'!C24,"")</f>
        <v>-1.5205285593039852</v>
      </c>
      <c r="C37" s="123">
        <f>IFERROR('Cash Flow'!C39/'Income Statement'!D24,"")</f>
        <v>23.198892440296866</v>
      </c>
      <c r="D37" s="123">
        <f>IFERROR('Cash Flow'!D39/'Income Statement'!E24,"")</f>
        <v>0.95255431439396121</v>
      </c>
      <c r="E37" s="123">
        <f>IFERROR('Cash Flow'!E39/'Income Statement'!F24,"")</f>
        <v>-912.72596653409289</v>
      </c>
      <c r="F37" s="125">
        <f>IFERROR('Cash Flow'!F39/'Income Statement'!G24,"")</f>
        <v>0.20266036044679636</v>
      </c>
      <c r="G37" s="123">
        <f>IFERROR('Cash Flow'!G39/'Income Statement'!H24,"")</f>
        <v>2.0696590064563312</v>
      </c>
      <c r="H37" s="123">
        <f>IFERROR('Cash Flow'!H39/'Income Statement'!I24,"")</f>
        <v>2.7708695441184448</v>
      </c>
      <c r="I37" s="123">
        <f>IFERROR('Cash Flow'!I39/'Income Statement'!J24,"")</f>
        <v>-26.446217857079994</v>
      </c>
      <c r="J37" s="123">
        <f>IFERROR('Cash Flow'!J39/'Income Statement'!K24,"")</f>
        <v>1.8080229040881188</v>
      </c>
      <c r="K37" s="125">
        <f>IFERROR('Cash Flow'!K39/'Income Statement'!L24,"")</f>
        <v>9.8483825134345366</v>
      </c>
      <c r="L37" s="123">
        <f>IFERROR('Cash Flow'!L39/'Income Statement'!M24,"")</f>
        <v>-2.9835522819173668</v>
      </c>
      <c r="M37" s="123">
        <f>IFERROR('Cash Flow'!M39/'Income Statement'!N24,"")</f>
        <v>-0.42670997864578764</v>
      </c>
      <c r="N37" s="123">
        <f>IFERROR('Cash Flow'!N39/'Income Statement'!O24,"")</f>
        <v>1.6644384609796272</v>
      </c>
      <c r="O37" s="123">
        <f>IFERROR('Cash Flow'!O39/'Income Statement'!P24,"")</f>
        <v>2.8046362830861957</v>
      </c>
      <c r="P37" s="125">
        <f>IFERROR('Cash Flow'!P39/'Income Statement'!Q24,"")</f>
        <v>0.290218559889385</v>
      </c>
      <c r="Q37" s="123">
        <f>IFERROR('Cash Flow'!Q39/'Income Statement'!R24,"")</f>
        <v>0.79247685702838044</v>
      </c>
      <c r="R37" s="123">
        <f>IFERROR('Cash Flow'!R39/'Income Statement'!S24,"")</f>
        <v>-1.2890690611730584</v>
      </c>
      <c r="S37" s="123">
        <f>IFERROR('Cash Flow'!S39/'Income Statement'!T24,"")</f>
        <v>1.0882976487682825</v>
      </c>
      <c r="T37" s="123">
        <f>IFERROR('Cash Flow'!T39/'Income Statement'!U24,"")</f>
        <v>2.7304331707986877</v>
      </c>
      <c r="U37" s="125">
        <f>IFERROR('Cash Flow'!U39/'Income Statement'!V24,"")</f>
        <v>0.58416536493860594</v>
      </c>
      <c r="V37" s="123">
        <f>IFERROR('Cash Flow'!V39/'Income Statement'!W24,"")</f>
        <v>-3.1126552522434268</v>
      </c>
      <c r="W37" s="123">
        <f>IFERROR('Cash Flow'!W39/'Income Statement'!X24,"")</f>
        <v>-7.1897008354777983</v>
      </c>
      <c r="X37" s="123">
        <f>IFERROR('Cash Flow'!X39/'Income Statement'!Y24,"")</f>
        <v>3.948291508586613</v>
      </c>
      <c r="Y37" s="123">
        <f>IFERROR('Cash Flow'!Y39/'Income Statement'!Z24,"")</f>
        <v>10.274887700631831</v>
      </c>
      <c r="Z37" s="125">
        <f>IFERROR('Cash Flow'!Z39/'Income Statement'!AA24,"")</f>
        <v>-0.75579543598829613</v>
      </c>
      <c r="AB37">
        <f>IFERROR('Cash Flow'!AB39/'Income Statement'!AB24,"")</f>
        <v>-1.5856620416852369</v>
      </c>
    </row>
    <row r="38" spans="1:28" x14ac:dyDescent="0.3">
      <c r="A38" s="119" t="s">
        <v>200</v>
      </c>
      <c r="B38" s="124">
        <f>IFERROR('Cash Flow'!B39/'Income Statement'!C6,"")</f>
        <v>3.5845919512040969E-2</v>
      </c>
      <c r="C38" s="124">
        <f>IFERROR('Cash Flow'!C39/'Income Statement'!D6,"")</f>
        <v>-0.15414328911816561</v>
      </c>
      <c r="D38" s="124">
        <f>IFERROR('Cash Flow'!D39/'Income Statement'!E6,"")</f>
        <v>-6.8264172270695641E-3</v>
      </c>
      <c r="E38" s="124">
        <f>IFERROR('Cash Flow'!E39/'Income Statement'!F6,"")</f>
        <v>0.10524675254347765</v>
      </c>
      <c r="F38" s="126">
        <f>IFERROR('Cash Flow'!F39/'Income Statement'!G6,"")</f>
        <v>-1.7899377682900424E-3</v>
      </c>
      <c r="G38" s="124">
        <f>IFERROR('Cash Flow'!G39/'Income Statement'!H6,"")</f>
        <v>9.2534230143277163E-2</v>
      </c>
      <c r="H38" s="124">
        <f>IFERROR('Cash Flow'!H39/'Income Statement'!I6,"")</f>
        <v>-0.22143675189054116</v>
      </c>
      <c r="I38" s="124">
        <f>IFERROR('Cash Flow'!I39/'Income Statement'!J6,"")</f>
        <v>0.16349987208775354</v>
      </c>
      <c r="J38" s="124">
        <f>IFERROR('Cash Flow'!J39/'Income Statement'!K6,"")</f>
        <v>8.0820565539968692E-2</v>
      </c>
      <c r="K38" s="126">
        <f>IFERROR('Cash Flow'!K39/'Income Statement'!L6,"")</f>
        <v>3.8292485486827524E-2</v>
      </c>
      <c r="L38" s="124">
        <f>IFERROR('Cash Flow'!L39/'Income Statement'!M6,"")</f>
        <v>-0.22205389043223545</v>
      </c>
      <c r="M38" s="124">
        <f>IFERROR('Cash Flow'!M39/'Income Statement'!N6,"")</f>
        <v>-6.2903149351568127E-2</v>
      </c>
      <c r="N38" s="124">
        <f>IFERROR('Cash Flow'!N39/'Income Statement'!O6,"")</f>
        <v>0.11964010396176838</v>
      </c>
      <c r="O38" s="124">
        <f>IFERROR('Cash Flow'!O39/'Income Statement'!P6,"")</f>
        <v>0.27553648544665221</v>
      </c>
      <c r="P38" s="126">
        <f>IFERROR('Cash Flow'!P39/'Income Statement'!Q6,"")</f>
        <v>2.8340282372088452E-2</v>
      </c>
      <c r="Q38" s="124">
        <f>IFERROR('Cash Flow'!Q39/'Income Statement'!R6,"")</f>
        <v>0.27753768183106331</v>
      </c>
      <c r="R38" s="124">
        <f>IFERROR('Cash Flow'!R39/'Income Statement'!S6,"")</f>
        <v>-0.13427832001780088</v>
      </c>
      <c r="S38" s="124">
        <f>IFERROR('Cash Flow'!S39/'Income Statement'!T6,"")</f>
        <v>0.13197352240328164</v>
      </c>
      <c r="T38" s="124">
        <f>IFERROR('Cash Flow'!T39/'Income Statement'!U6,"")</f>
        <v>5.887836619961883E-2</v>
      </c>
      <c r="U38" s="126">
        <f>IFERROR('Cash Flow'!U39/'Income Statement'!V6,"")</f>
        <v>8.0827851992381114E-2</v>
      </c>
      <c r="V38" s="124">
        <f>IFERROR('Cash Flow'!V39/'Income Statement'!W6,"")</f>
        <v>-0.1709650374957101</v>
      </c>
      <c r="W38" s="124">
        <f>IFERROR('Cash Flow'!W39/'Income Statement'!X6,"")</f>
        <v>-0.21119875293087731</v>
      </c>
      <c r="X38" s="124">
        <f>IFERROR('Cash Flow'!X39/'Income Statement'!Y6,"")</f>
        <v>0.18766963381620258</v>
      </c>
      <c r="Y38" s="124">
        <f>IFERROR('Cash Flow'!Y39/'Income Statement'!Z6,"")</f>
        <v>3.954593733746959E-2</v>
      </c>
      <c r="Z38" s="126">
        <f>IFERROR('Cash Flow'!Z39/'Income Statement'!AA6,"")</f>
        <v>-2.5113249523849756E-2</v>
      </c>
      <c r="AB38">
        <f>IFERROR('Cash Flow'!AB39/'Income Statement'!AB6,"")</f>
        <v>0.1715923799194187</v>
      </c>
    </row>
    <row r="39" spans="1:28" x14ac:dyDescent="0.3">
      <c r="A39" s="120" t="s">
        <v>201</v>
      </c>
      <c r="B39" s="123">
        <f>IFERROR('Cash Flow'!B39/ABS('Cash Flow'!B41),"")</f>
        <v>2.142055484945959</v>
      </c>
      <c r="C39" s="123">
        <f>IFERROR('Cash Flow'!C39/ABS('Cash Flow'!C41),"")</f>
        <v>-5.3237837813180571</v>
      </c>
      <c r="D39" s="123">
        <f>IFERROR('Cash Flow'!D39/ABS('Cash Flow'!D41),"")</f>
        <v>-0.28831217531040998</v>
      </c>
      <c r="E39" s="123">
        <f>IFERROR('Cash Flow'!E39/ABS('Cash Flow'!E41),"")</f>
        <v>3.6786279982614802</v>
      </c>
      <c r="F39" s="125">
        <f>IFERROR('Cash Flow'!F39/ABS('Cash Flow'!F41),"")</f>
        <v>-7.2393719720355271E-2</v>
      </c>
      <c r="G39" s="123">
        <f>IFERROR('Cash Flow'!G39/ABS('Cash Flow'!G41),"")</f>
        <v>2.3221852603949587</v>
      </c>
      <c r="H39" s="123">
        <f>IFERROR('Cash Flow'!H39/ABS('Cash Flow'!H41),"")</f>
        <v>-9.9925839078549341</v>
      </c>
      <c r="I39" s="123">
        <f>IFERROR('Cash Flow'!I39/ABS('Cash Flow'!I41),"")</f>
        <v>14.539287889764031</v>
      </c>
      <c r="J39" s="123">
        <f>IFERROR('Cash Flow'!J39/ABS('Cash Flow'!J41),"")</f>
        <v>1.5861554283023815</v>
      </c>
      <c r="K39" s="125">
        <f>IFERROR('Cash Flow'!K39/ABS('Cash Flow'!K41),"")</f>
        <v>1.2080587999083752</v>
      </c>
      <c r="L39" s="123">
        <f>IFERROR('Cash Flow'!L39/ABS('Cash Flow'!L41),"")</f>
        <v>-7.6316282829789293</v>
      </c>
      <c r="M39" s="123">
        <f>IFERROR('Cash Flow'!M39/ABS('Cash Flow'!M41),"")</f>
        <v>-1.8873447588156567</v>
      </c>
      <c r="N39" s="123">
        <f>IFERROR('Cash Flow'!N39/ABS('Cash Flow'!N41),"")</f>
        <v>2.1694535335949223</v>
      </c>
      <c r="O39" s="123">
        <f>IFERROR('Cash Flow'!O39/ABS('Cash Flow'!O41),"")</f>
        <v>2.7548906194291374</v>
      </c>
      <c r="P39" s="125">
        <f>IFERROR('Cash Flow'!P39/ABS('Cash Flow'!P41),"")</f>
        <v>0.51907954140853685</v>
      </c>
      <c r="Q39" s="123">
        <f>IFERROR('Cash Flow'!Q39/ABS('Cash Flow'!Q41),"")</f>
        <v>6.0121677647142171</v>
      </c>
      <c r="R39" s="123">
        <f>IFERROR('Cash Flow'!R39/ABS('Cash Flow'!R41),"")</f>
        <v>-3.5189284389198705</v>
      </c>
      <c r="S39" s="123">
        <f>IFERROR('Cash Flow'!S39/ABS('Cash Flow'!S41),"")</f>
        <v>3.8543159606230257</v>
      </c>
      <c r="T39" s="123">
        <f>IFERROR('Cash Flow'!T39/ABS('Cash Flow'!T41),"")</f>
        <v>1.0952877389920035</v>
      </c>
      <c r="U39" s="125">
        <f>IFERROR('Cash Flow'!U39/ABS('Cash Flow'!U41),"")</f>
        <v>1.8847453969505097</v>
      </c>
      <c r="V39" s="123">
        <f>IFERROR('Cash Flow'!V39/ABS('Cash Flow'!V41),"")</f>
        <v>-1.5863112406980577</v>
      </c>
      <c r="W39" s="123">
        <f>IFERROR('Cash Flow'!W39/ABS('Cash Flow'!W41),"")</f>
        <v>-5.2701311056237801</v>
      </c>
      <c r="X39" s="123">
        <f>IFERROR('Cash Flow'!X39/ABS('Cash Flow'!X41),"")</f>
        <v>4.1436642181176584</v>
      </c>
      <c r="Y39" s="123">
        <f>IFERROR('Cash Flow'!Y39/ABS('Cash Flow'!Y41),"")</f>
        <v>0.73539569986341791</v>
      </c>
      <c r="Z39" s="125">
        <f>IFERROR('Cash Flow'!Z39/ABS('Cash Flow'!Z41),"")</f>
        <v>-0.41986209651970169</v>
      </c>
      <c r="AB39">
        <f>IFERROR('Cash Flow'!AB39/ABS('Cash Flow'!AB41),"")</f>
        <v>6.0824861060462663</v>
      </c>
    </row>
    <row r="40" spans="1:28" ht="28.05" customHeight="1" x14ac:dyDescent="0.3"/>
    <row r="64" spans="1:1" ht="18" hidden="1" x14ac:dyDescent="0.35">
      <c r="A64" s="129" t="s">
        <v>213</v>
      </c>
    </row>
    <row r="65" spans="1:2" hidden="1" x14ac:dyDescent="0.3">
      <c r="A65" s="127" t="s">
        <v>203</v>
      </c>
    </row>
    <row r="66" spans="1:2" hidden="1" x14ac:dyDescent="0.3">
      <c r="A66" t="s">
        <v>204</v>
      </c>
      <c r="B66" s="128">
        <v>3252906060</v>
      </c>
    </row>
    <row r="67" spans="1:2" hidden="1" x14ac:dyDescent="0.3">
      <c r="A67" t="s">
        <v>205</v>
      </c>
      <c r="B67" s="128">
        <v>119446611</v>
      </c>
    </row>
    <row r="68" spans="1:2" hidden="1" x14ac:dyDescent="0.3">
      <c r="A68" t="s">
        <v>206</v>
      </c>
      <c r="B68" s="128">
        <v>1686845794</v>
      </c>
    </row>
    <row r="69" spans="1:2" hidden="1" x14ac:dyDescent="0.3">
      <c r="A69" t="s">
        <v>207</v>
      </c>
      <c r="B69" s="128">
        <v>34910579</v>
      </c>
    </row>
    <row r="70" spans="1:2" hidden="1" x14ac:dyDescent="0.3">
      <c r="A70" t="s">
        <v>208</v>
      </c>
      <c r="B70" s="128">
        <v>2335456</v>
      </c>
    </row>
    <row r="71" spans="1:2" hidden="1" x14ac:dyDescent="0.3">
      <c r="A71" t="s">
        <v>209</v>
      </c>
      <c r="B71" s="128">
        <v>0</v>
      </c>
    </row>
    <row r="72" spans="1:2" hidden="1" x14ac:dyDescent="0.3">
      <c r="A72" t="s">
        <v>210</v>
      </c>
      <c r="B72" s="128">
        <v>717179376</v>
      </c>
    </row>
    <row r="73" spans="1:2" hidden="1" x14ac:dyDescent="0.3">
      <c r="A73" t="s">
        <v>211</v>
      </c>
      <c r="B73" s="128">
        <v>11011000</v>
      </c>
    </row>
    <row r="74" spans="1:2" hidden="1" x14ac:dyDescent="0.3">
      <c r="A74" t="s">
        <v>212</v>
      </c>
      <c r="B74" s="49">
        <f>(B66-B67)-(B68-B69-B70-B71-B72-B73)</f>
        <v>2212050066</v>
      </c>
    </row>
    <row r="111" outlineLevel="1" x14ac:dyDescent="0.3"/>
    <row r="112" outlineLevel="1" x14ac:dyDescent="0.3"/>
    <row r="113" spans="1:6" outlineLevel="1" x14ac:dyDescent="0.3">
      <c r="A113" s="105">
        <f t="shared" ref="A113:F113" si="4">A41</f>
        <v>0</v>
      </c>
      <c r="B113" s="105">
        <f t="shared" si="4"/>
        <v>0</v>
      </c>
      <c r="C113" s="105">
        <f t="shared" si="4"/>
        <v>0</v>
      </c>
      <c r="D113" s="105">
        <f t="shared" si="4"/>
        <v>0</v>
      </c>
      <c r="E113" s="105">
        <f t="shared" si="4"/>
        <v>0</v>
      </c>
      <c r="F113" s="105">
        <f t="shared" si="4"/>
        <v>0</v>
      </c>
    </row>
    <row r="114" spans="1:6" outlineLevel="1" x14ac:dyDescent="0.3">
      <c r="A114" s="105">
        <f t="shared" ref="A114:F115" si="5">A45</f>
        <v>0</v>
      </c>
      <c r="B114" s="106">
        <f t="shared" si="5"/>
        <v>0</v>
      </c>
      <c r="C114" s="106">
        <f t="shared" si="5"/>
        <v>0</v>
      </c>
      <c r="D114" s="106">
        <f t="shared" si="5"/>
        <v>0</v>
      </c>
      <c r="E114" s="106">
        <f t="shared" si="5"/>
        <v>0</v>
      </c>
      <c r="F114" s="106">
        <f t="shared" si="5"/>
        <v>0</v>
      </c>
    </row>
    <row r="115" spans="1:6" outlineLevel="1" x14ac:dyDescent="0.3">
      <c r="A115" s="105">
        <f t="shared" si="5"/>
        <v>0</v>
      </c>
      <c r="B115" s="106">
        <f t="shared" si="5"/>
        <v>0</v>
      </c>
      <c r="C115" s="106">
        <f t="shared" si="5"/>
        <v>0</v>
      </c>
      <c r="D115" s="106">
        <f t="shared" si="5"/>
        <v>0</v>
      </c>
      <c r="E115" s="106">
        <f t="shared" si="5"/>
        <v>0</v>
      </c>
      <c r="F115" s="106">
        <f t="shared" si="5"/>
        <v>0</v>
      </c>
    </row>
    <row r="116" spans="1:6" outlineLevel="1" x14ac:dyDescent="0.3">
      <c r="A116" s="105"/>
      <c r="B116" s="105"/>
      <c r="C116" s="105"/>
      <c r="D116" s="105"/>
      <c r="E116" s="105"/>
      <c r="F116" s="105"/>
    </row>
    <row r="117" spans="1:6" outlineLevel="1" x14ac:dyDescent="0.3">
      <c r="A117" s="105">
        <f t="shared" ref="A117:F117" si="6">A41</f>
        <v>0</v>
      </c>
      <c r="B117" s="105">
        <f t="shared" si="6"/>
        <v>0</v>
      </c>
      <c r="C117" s="105">
        <f t="shared" si="6"/>
        <v>0</v>
      </c>
      <c r="D117" s="105">
        <f t="shared" si="6"/>
        <v>0</v>
      </c>
      <c r="E117" s="105">
        <f t="shared" si="6"/>
        <v>0</v>
      </c>
      <c r="F117" s="105">
        <f t="shared" si="6"/>
        <v>0</v>
      </c>
    </row>
    <row r="118" spans="1:6" outlineLevel="1" x14ac:dyDescent="0.3">
      <c r="A118" s="105">
        <f t="shared" ref="A118:F120" si="7">A47</f>
        <v>0</v>
      </c>
      <c r="B118" s="107">
        <f t="shared" si="7"/>
        <v>0</v>
      </c>
      <c r="C118" s="107">
        <f t="shared" si="7"/>
        <v>0</v>
      </c>
      <c r="D118" s="107">
        <f t="shared" si="7"/>
        <v>0</v>
      </c>
      <c r="E118" s="107">
        <f t="shared" si="7"/>
        <v>0</v>
      </c>
      <c r="F118" s="107">
        <f t="shared" si="7"/>
        <v>0</v>
      </c>
    </row>
    <row r="119" spans="1:6" outlineLevel="1" x14ac:dyDescent="0.3">
      <c r="A119" s="105">
        <f t="shared" si="7"/>
        <v>0</v>
      </c>
      <c r="B119" s="107">
        <f t="shared" si="7"/>
        <v>0</v>
      </c>
      <c r="C119" s="107">
        <f t="shared" si="7"/>
        <v>0</v>
      </c>
      <c r="D119" s="107">
        <f t="shared" si="7"/>
        <v>0</v>
      </c>
      <c r="E119" s="107">
        <f t="shared" si="7"/>
        <v>0</v>
      </c>
      <c r="F119" s="107">
        <f t="shared" si="7"/>
        <v>0</v>
      </c>
    </row>
    <row r="120" spans="1:6" outlineLevel="1" x14ac:dyDescent="0.3">
      <c r="A120" s="105">
        <f t="shared" si="7"/>
        <v>0</v>
      </c>
      <c r="B120" s="107">
        <f t="shared" si="7"/>
        <v>0</v>
      </c>
      <c r="C120" s="107">
        <f t="shared" si="7"/>
        <v>0</v>
      </c>
      <c r="D120" s="107">
        <f t="shared" si="7"/>
        <v>0</v>
      </c>
      <c r="E120" s="107">
        <f t="shared" si="7"/>
        <v>0</v>
      </c>
      <c r="F120" s="107">
        <f t="shared" si="7"/>
        <v>0</v>
      </c>
    </row>
    <row r="121" spans="1:6" outlineLevel="1" x14ac:dyDescent="0.3">
      <c r="A121" s="105"/>
      <c r="B121" s="105"/>
      <c r="C121" s="105"/>
      <c r="D121" s="105"/>
      <c r="E121" s="105"/>
      <c r="F121" s="105"/>
    </row>
    <row r="122" spans="1:6" outlineLevel="1" x14ac:dyDescent="0.3">
      <c r="A122" s="105">
        <f t="shared" ref="A122:F122" si="8">A41</f>
        <v>0</v>
      </c>
      <c r="B122" s="105">
        <f t="shared" si="8"/>
        <v>0</v>
      </c>
      <c r="C122" s="105">
        <f t="shared" si="8"/>
        <v>0</v>
      </c>
      <c r="D122" s="105">
        <f t="shared" si="8"/>
        <v>0</v>
      </c>
      <c r="E122" s="105">
        <f t="shared" si="8"/>
        <v>0</v>
      </c>
      <c r="F122" s="105">
        <f t="shared" si="8"/>
        <v>0</v>
      </c>
    </row>
    <row r="123" spans="1:6" outlineLevel="1" x14ac:dyDescent="0.3">
      <c r="A123" s="105">
        <f t="shared" ref="A123:F125" si="9">A50</f>
        <v>0</v>
      </c>
      <c r="B123" s="107">
        <f t="shared" si="9"/>
        <v>0</v>
      </c>
      <c r="C123" s="107">
        <f t="shared" si="9"/>
        <v>0</v>
      </c>
      <c r="D123" s="107">
        <f t="shared" si="9"/>
        <v>0</v>
      </c>
      <c r="E123" s="107">
        <f t="shared" si="9"/>
        <v>0</v>
      </c>
      <c r="F123" s="107">
        <f t="shared" si="9"/>
        <v>0</v>
      </c>
    </row>
    <row r="124" spans="1:6" outlineLevel="1" x14ac:dyDescent="0.3">
      <c r="A124" s="105">
        <f t="shared" si="9"/>
        <v>0</v>
      </c>
      <c r="B124" s="106">
        <f t="shared" si="9"/>
        <v>0</v>
      </c>
      <c r="C124" s="106">
        <f t="shared" si="9"/>
        <v>0</v>
      </c>
      <c r="D124" s="106">
        <f t="shared" si="9"/>
        <v>0</v>
      </c>
      <c r="E124" s="106">
        <f t="shared" si="9"/>
        <v>0</v>
      </c>
      <c r="F124" s="106">
        <f t="shared" si="9"/>
        <v>0</v>
      </c>
    </row>
    <row r="125" spans="1:6" outlineLevel="1" x14ac:dyDescent="0.3">
      <c r="A125" s="105">
        <f t="shared" si="9"/>
        <v>0</v>
      </c>
      <c r="B125" s="106">
        <f t="shared" si="9"/>
        <v>0</v>
      </c>
      <c r="C125" s="106">
        <f t="shared" si="9"/>
        <v>0</v>
      </c>
      <c r="D125" s="106">
        <f t="shared" si="9"/>
        <v>0</v>
      </c>
      <c r="E125" s="106">
        <f t="shared" si="9"/>
        <v>0</v>
      </c>
      <c r="F125" s="106">
        <f t="shared" si="9"/>
        <v>0</v>
      </c>
    </row>
    <row r="126" spans="1:6" outlineLevel="1" x14ac:dyDescent="0.3">
      <c r="A126" s="105"/>
      <c r="B126" s="105"/>
      <c r="C126" s="105"/>
      <c r="D126" s="105"/>
      <c r="E126" s="105"/>
      <c r="F126" s="105"/>
    </row>
    <row r="127" spans="1:6" outlineLevel="1" x14ac:dyDescent="0.3">
      <c r="A127" s="105">
        <f t="shared" ref="A127:F127" si="10">A41</f>
        <v>0</v>
      </c>
      <c r="B127" s="105">
        <f t="shared" si="10"/>
        <v>0</v>
      </c>
      <c r="C127" s="105">
        <f t="shared" si="10"/>
        <v>0</v>
      </c>
      <c r="D127" s="105">
        <f t="shared" si="10"/>
        <v>0</v>
      </c>
      <c r="E127" s="105">
        <f t="shared" si="10"/>
        <v>0</v>
      </c>
      <c r="F127" s="105">
        <f t="shared" si="10"/>
        <v>0</v>
      </c>
    </row>
    <row r="128" spans="1:6" outlineLevel="1" x14ac:dyDescent="0.3">
      <c r="A128" s="105">
        <f t="shared" ref="A128:F131" si="11">A53</f>
        <v>0</v>
      </c>
      <c r="B128" s="108">
        <f t="shared" si="11"/>
        <v>0</v>
      </c>
      <c r="C128" s="108">
        <f t="shared" si="11"/>
        <v>0</v>
      </c>
      <c r="D128" s="108">
        <f t="shared" si="11"/>
        <v>0</v>
      </c>
      <c r="E128" s="108">
        <f t="shared" si="11"/>
        <v>0</v>
      </c>
      <c r="F128" s="108">
        <f t="shared" si="11"/>
        <v>0</v>
      </c>
    </row>
    <row r="129" spans="1:6" outlineLevel="1" x14ac:dyDescent="0.3">
      <c r="A129" s="105">
        <f t="shared" si="11"/>
        <v>0</v>
      </c>
      <c r="B129" s="108">
        <f t="shared" si="11"/>
        <v>0</v>
      </c>
      <c r="C129" s="108">
        <f t="shared" si="11"/>
        <v>0</v>
      </c>
      <c r="D129" s="108">
        <f t="shared" si="11"/>
        <v>0</v>
      </c>
      <c r="E129" s="108">
        <f t="shared" si="11"/>
        <v>0</v>
      </c>
      <c r="F129" s="108">
        <f t="shared" si="11"/>
        <v>0</v>
      </c>
    </row>
    <row r="130" spans="1:6" outlineLevel="1" x14ac:dyDescent="0.3">
      <c r="A130" s="105">
        <f t="shared" si="11"/>
        <v>0</v>
      </c>
      <c r="B130" s="108">
        <f t="shared" si="11"/>
        <v>0</v>
      </c>
      <c r="C130" s="108">
        <f t="shared" si="11"/>
        <v>0</v>
      </c>
      <c r="D130" s="108">
        <f t="shared" si="11"/>
        <v>0</v>
      </c>
      <c r="E130" s="108">
        <f t="shared" si="11"/>
        <v>0</v>
      </c>
      <c r="F130" s="108">
        <f t="shared" si="11"/>
        <v>0</v>
      </c>
    </row>
    <row r="131" spans="1:6" outlineLevel="1" x14ac:dyDescent="0.3">
      <c r="A131" s="105">
        <f t="shared" si="11"/>
        <v>0</v>
      </c>
      <c r="B131" s="108">
        <f t="shared" si="11"/>
        <v>0</v>
      </c>
      <c r="C131" s="108">
        <f t="shared" si="11"/>
        <v>0</v>
      </c>
      <c r="D131" s="108">
        <f t="shared" si="11"/>
        <v>0</v>
      </c>
      <c r="E131" s="108">
        <f t="shared" si="11"/>
        <v>0</v>
      </c>
      <c r="F131" s="108">
        <f t="shared" si="11"/>
        <v>0</v>
      </c>
    </row>
    <row r="132" spans="1:6" outlineLevel="1" x14ac:dyDescent="0.3">
      <c r="A132" s="105"/>
      <c r="B132" s="105"/>
      <c r="C132" s="105"/>
      <c r="D132" s="105"/>
      <c r="E132" s="105"/>
      <c r="F132" s="105"/>
    </row>
    <row r="133" spans="1:6" outlineLevel="1" x14ac:dyDescent="0.3">
      <c r="A133" s="105">
        <f t="shared" ref="A133:F133" si="12">A41</f>
        <v>0</v>
      </c>
      <c r="B133" s="105">
        <f t="shared" si="12"/>
        <v>0</v>
      </c>
      <c r="C133" s="105">
        <f t="shared" si="12"/>
        <v>0</v>
      </c>
      <c r="D133" s="105">
        <f t="shared" si="12"/>
        <v>0</v>
      </c>
      <c r="E133" s="105">
        <f t="shared" si="12"/>
        <v>0</v>
      </c>
      <c r="F133" s="105">
        <f t="shared" si="12"/>
        <v>0</v>
      </c>
    </row>
    <row r="134" spans="1:6" outlineLevel="1" x14ac:dyDescent="0.3">
      <c r="A134" s="105">
        <f t="shared" ref="A134:F135" si="13">A57</f>
        <v>0</v>
      </c>
      <c r="B134" s="109">
        <f t="shared" si="13"/>
        <v>0</v>
      </c>
      <c r="C134" s="109">
        <f t="shared" si="13"/>
        <v>0</v>
      </c>
      <c r="D134" s="109">
        <f t="shared" si="13"/>
        <v>0</v>
      </c>
      <c r="E134" s="109">
        <f t="shared" si="13"/>
        <v>0</v>
      </c>
      <c r="F134" s="109">
        <f t="shared" si="13"/>
        <v>0</v>
      </c>
    </row>
    <row r="135" spans="1:6" outlineLevel="1" x14ac:dyDescent="0.3">
      <c r="A135" s="105">
        <f t="shared" si="13"/>
        <v>0</v>
      </c>
      <c r="B135" s="109">
        <f t="shared" si="13"/>
        <v>0</v>
      </c>
      <c r="C135" s="109">
        <f t="shared" si="13"/>
        <v>0</v>
      </c>
      <c r="D135" s="109">
        <f t="shared" si="13"/>
        <v>0</v>
      </c>
      <c r="E135" s="109">
        <f t="shared" si="13"/>
        <v>0</v>
      </c>
      <c r="F135" s="109">
        <f t="shared" si="13"/>
        <v>0</v>
      </c>
    </row>
    <row r="136" spans="1:6" outlineLevel="1" x14ac:dyDescent="0.3"/>
    <row r="137" spans="1:6" outlineLevel="1" x14ac:dyDescent="0.3"/>
    <row r="138" spans="1:6" outlineLevel="1" x14ac:dyDescent="0.3"/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11811023622047" footer="0.511811023622047"/>
  <pageSetup paperSize="9" orientation="portrait" horizontalDpi="300" verticalDpi="300"/>
  <ignoredErrors>
    <ignoredError sqref="B21:Z26" formula="1"/>
    <ignoredError sqref="B2:Z2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Events Log</vt:lpstr>
      <vt:lpstr>Income Statement</vt:lpstr>
      <vt:lpstr>Balance Sheet</vt:lpstr>
      <vt:lpstr>Cash Flow</vt:lpstr>
      <vt:lpstr>Ratio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Dawod</cp:lastModifiedBy>
  <cp:revision>1</cp:revision>
  <dcterms:created xsi:type="dcterms:W3CDTF">2026-05-27T08:48:34Z</dcterms:created>
  <dcterms:modified xsi:type="dcterms:W3CDTF">2026-06-02T22:21:05Z</dcterms:modified>
  <dc:language>en-US</dc:language>
</cp:coreProperties>
</file>