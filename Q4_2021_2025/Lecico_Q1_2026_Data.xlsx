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" sheetId="1" state="visible" r:id="rId3"/>
    <sheet name="01 · Headline" sheetId="2" state="visible" r:id="rId4"/>
    <sheet name="02 · Full P&amp;L" sheetId="3" state="visible" r:id="rId5"/>
    <sheet name="03 · Balance Sheet" sheetId="4" state="visible" r:id="rId6"/>
    <sheet name="04 · Cash Flow" sheetId="5" state="visible" r:id="rId7"/>
    <sheet name="05 · Products" sheetId="6" state="visible" r:id="rId8"/>
    <sheet name="06 · Geography" sheetId="7" state="visible" r:id="rId9"/>
    <sheet name="07 · Margins" sheetId="8" state="visible" r:id="rId10"/>
    <sheet name="08 · FX Rates" sheetId="9" state="visible" r:id="rId11"/>
    <sheet name="09 · Lebanon" sheetId="10" state="visible" r:id="rId12"/>
    <sheet name="10 · Forecast Input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<sst xmlns="http://schemas.openxmlformats.org/spreadsheetml/2006/main" count="362" uniqueCount="313">
  <si>
    <t xml:space="preserve">Lecico Q1 2026 — Data Pack</t>
  </si>
  <si>
    <r>
      <rPr>
        <i val="true"/>
        <sz val="12"/>
        <color rgb="FF5B6273"/>
        <rFont val="FreeSans"/>
        <family val="2"/>
      </rPr>
      <t xml:space="preserve">بيانات الكوارتر الأول </t>
    </r>
    <r>
      <rPr>
        <i val="true"/>
        <sz val="12"/>
        <color rgb="FF5B6273"/>
        <rFont val="Calibri"/>
        <family val="0"/>
        <charset val="1"/>
      </rPr>
      <t xml:space="preserve">2026 + </t>
    </r>
    <r>
      <rPr>
        <i val="true"/>
        <sz val="12"/>
        <color rgb="FF5B6273"/>
        <rFont val="FreeSans"/>
        <family val="2"/>
      </rPr>
      <t xml:space="preserve">مقارنات </t>
    </r>
    <r>
      <rPr>
        <i val="true"/>
        <sz val="12"/>
        <color rgb="FF5B6273"/>
        <rFont val="Calibri"/>
        <family val="0"/>
        <charset val="1"/>
      </rPr>
      <t xml:space="preserve">+ </t>
    </r>
    <r>
      <rPr>
        <i val="true"/>
        <sz val="12"/>
        <color rgb="FF5B6273"/>
        <rFont val="FreeSans"/>
        <family val="2"/>
      </rPr>
      <t xml:space="preserve">كل اللي محتاجه للتنبؤ بـ </t>
    </r>
    <r>
      <rPr>
        <i val="true"/>
        <sz val="12"/>
        <color rgb="FF5B6273"/>
        <rFont val="Calibri"/>
        <family val="0"/>
        <charset val="1"/>
      </rPr>
      <t xml:space="preserve">Q2 2026</t>
    </r>
  </si>
  <si>
    <t xml:space="preserve">Period</t>
  </si>
  <si>
    <t xml:space="preserve">3 months ended March 31, 2026</t>
  </si>
  <si>
    <t xml:space="preserve">Currency</t>
  </si>
  <si>
    <t xml:space="preserve">EGP millions unless stated otherwise</t>
  </si>
  <si>
    <t xml:space="preserve">Sheets</t>
  </si>
  <si>
    <t xml:space="preserve">01</t>
  </si>
  <si>
    <t xml:space="preserve">Headline Comparison</t>
  </si>
  <si>
    <r>
      <rPr>
        <sz val="11"/>
        <color rgb="FF5B6273"/>
        <rFont val="FreeSans"/>
        <family val="2"/>
      </rPr>
      <t xml:space="preserve">أهم </t>
    </r>
    <r>
      <rPr>
        <sz val="11"/>
        <color rgb="FF5B6273"/>
        <rFont val="Calibri"/>
        <family val="0"/>
        <charset val="1"/>
      </rPr>
      <t xml:space="preserve">10 </t>
    </r>
    <r>
      <rPr>
        <sz val="11"/>
        <color rgb="FF5B6273"/>
        <rFont val="FreeSans"/>
        <family val="2"/>
      </rPr>
      <t xml:space="preserve">أرقام</t>
    </r>
    <r>
      <rPr>
        <sz val="11"/>
        <color rgb="FF5B6273"/>
        <rFont val="Calibri"/>
        <family val="0"/>
        <charset val="1"/>
      </rPr>
      <t xml:space="preserve">: Q1 2026 vs Q1 2025 + </t>
    </r>
    <r>
      <rPr>
        <sz val="11"/>
        <color rgb="FF5B6273"/>
        <rFont val="FreeSans"/>
        <family val="2"/>
      </rPr>
      <t xml:space="preserve">التغير </t>
    </r>
    <r>
      <rPr>
        <sz val="11"/>
        <color rgb="FF5B6273"/>
        <rFont val="Calibri"/>
        <family val="0"/>
        <charset val="1"/>
      </rPr>
      <t xml:space="preserve">· </t>
    </r>
    <r>
      <rPr>
        <sz val="11"/>
        <color rgb="FF5B6273"/>
        <rFont val="FreeSans"/>
        <family val="2"/>
      </rPr>
      <t xml:space="preserve">ابدأ هنا</t>
    </r>
  </si>
  <si>
    <t xml:space="preserve">02</t>
  </si>
  <si>
    <t xml:space="preserve">Full P&amp;L</t>
  </si>
  <si>
    <r>
      <rPr>
        <sz val="11"/>
        <color rgb="FF5B6273"/>
        <rFont val="FreeSans"/>
        <family val="2"/>
      </rPr>
      <t xml:space="preserve">قائمة الدخل كاملة لـ </t>
    </r>
    <r>
      <rPr>
        <sz val="11"/>
        <color rgb="FF5B6273"/>
        <rFont val="Calibri"/>
        <family val="0"/>
        <charset val="1"/>
      </rPr>
      <t xml:space="preserve">Q1 2026 vs Q1 2025</t>
    </r>
  </si>
  <si>
    <t xml:space="preserve">03</t>
  </si>
  <si>
    <t xml:space="preserve">Balance Sheet</t>
  </si>
  <si>
    <r>
      <rPr>
        <sz val="11"/>
        <color rgb="FF5B6273"/>
        <rFont val="FreeSans"/>
        <family val="2"/>
      </rPr>
      <t xml:space="preserve">الميزانية في </t>
    </r>
    <r>
      <rPr>
        <sz val="11"/>
        <color rgb="FF5B6273"/>
        <rFont val="Calibri"/>
        <family val="0"/>
        <charset val="1"/>
      </rPr>
      <t xml:space="preserve">31 </t>
    </r>
    <r>
      <rPr>
        <sz val="11"/>
        <color rgb="FF5B6273"/>
        <rFont val="FreeSans"/>
        <family val="2"/>
      </rPr>
      <t xml:space="preserve">مارس </t>
    </r>
    <r>
      <rPr>
        <sz val="11"/>
        <color rgb="FF5B6273"/>
        <rFont val="Calibri"/>
        <family val="0"/>
        <charset val="1"/>
      </rPr>
      <t xml:space="preserve">2026 vs 31 </t>
    </r>
    <r>
      <rPr>
        <sz val="11"/>
        <color rgb="FF5B6273"/>
        <rFont val="FreeSans"/>
        <family val="2"/>
      </rPr>
      <t xml:space="preserve">ديسمبر </t>
    </r>
    <r>
      <rPr>
        <sz val="11"/>
        <color rgb="FF5B6273"/>
        <rFont val="Calibri"/>
        <family val="0"/>
        <charset val="1"/>
      </rPr>
      <t xml:space="preserve">2025</t>
    </r>
  </si>
  <si>
    <t xml:space="preserve">04</t>
  </si>
  <si>
    <t xml:space="preserve">Cash Flow</t>
  </si>
  <si>
    <r>
      <rPr>
        <sz val="11"/>
        <color rgb="FF5B6273"/>
        <rFont val="FreeSans"/>
        <family val="2"/>
      </rPr>
      <t xml:space="preserve">قائمة التدفقات النقدية لـ </t>
    </r>
    <r>
      <rPr>
        <sz val="11"/>
        <color rgb="FF5B6273"/>
        <rFont val="Calibri"/>
        <family val="0"/>
        <charset val="1"/>
      </rPr>
      <t xml:space="preserve">Q1 2026</t>
    </r>
  </si>
  <si>
    <t xml:space="preserve">05</t>
  </si>
  <si>
    <t xml:space="preserve">Product Segments</t>
  </si>
  <si>
    <r>
      <rPr>
        <sz val="11"/>
        <color rgb="FF5B6273"/>
        <rFont val="FreeSans"/>
        <family val="2"/>
      </rPr>
      <t xml:space="preserve">تفصيل الإيرادات حسب المنتج</t>
    </r>
    <r>
      <rPr>
        <sz val="11"/>
        <color rgb="FF5B6273"/>
        <rFont val="Calibri"/>
        <family val="0"/>
        <charset val="1"/>
      </rPr>
      <t xml:space="preserve">: Sanitary / Tiles / Brassware</t>
    </r>
  </si>
  <si>
    <t xml:space="preserve">06</t>
  </si>
  <si>
    <t xml:space="preserve">Geographic Segments</t>
  </si>
  <si>
    <r>
      <rPr>
        <sz val="11"/>
        <color rgb="FF5B6273"/>
        <rFont val="FreeSans"/>
        <family val="2"/>
      </rPr>
      <t xml:space="preserve">تفصيل الإيرادات حسب المنطقة</t>
    </r>
    <r>
      <rPr>
        <sz val="11"/>
        <color rgb="FF5B6273"/>
        <rFont val="Calibri"/>
        <family val="0"/>
        <charset val="1"/>
      </rPr>
      <t xml:space="preserve">: Egypt / Lebanon / Others</t>
    </r>
  </si>
  <si>
    <t xml:space="preserve">07</t>
  </si>
  <si>
    <t xml:space="preserve">Margin Analysis</t>
  </si>
  <si>
    <r>
      <rPr>
        <sz val="11"/>
        <color rgb="FF5B6273"/>
        <rFont val="FreeSans"/>
        <family val="2"/>
      </rPr>
      <t xml:space="preserve">تحليل تطور الهوامش </t>
    </r>
    <r>
      <rPr>
        <sz val="11"/>
        <color rgb="FF5B6273"/>
        <rFont val="Calibri"/>
        <family val="0"/>
        <charset val="1"/>
      </rPr>
      <t xml:space="preserve">+ COGS </t>
    </r>
    <r>
      <rPr>
        <sz val="11"/>
        <color rgb="FF5B6273"/>
        <rFont val="FreeSans"/>
        <family val="2"/>
      </rPr>
      <t xml:space="preserve">كنسبة من الإيراد</t>
    </r>
  </si>
  <si>
    <t xml:space="preserve">08</t>
  </si>
  <si>
    <t xml:space="preserve">FX Rates</t>
  </si>
  <si>
    <r>
      <rPr>
        <sz val="11"/>
        <color rgb="FF5B6273"/>
        <rFont val="FreeSans"/>
        <family val="2"/>
      </rPr>
      <t xml:space="preserve">أسعار الصرف </t>
    </r>
    <r>
      <rPr>
        <sz val="11"/>
        <color rgb="FF5B6273"/>
        <rFont val="Calibri"/>
        <family val="0"/>
        <charset val="1"/>
      </rPr>
      <t xml:space="preserve">Q1 2026 (</t>
    </r>
    <r>
      <rPr>
        <sz val="11"/>
        <color rgb="FF5B6273"/>
        <rFont val="FreeSans"/>
        <family val="2"/>
      </rPr>
      <t xml:space="preserve">الجنيه ضعف تاني</t>
    </r>
    <r>
      <rPr>
        <sz val="11"/>
        <color rgb="FF5B6273"/>
        <rFont val="Calibri"/>
        <family val="0"/>
        <charset val="1"/>
      </rPr>
      <t xml:space="preserve">!)</t>
    </r>
  </si>
  <si>
    <t xml:space="preserve">09</t>
  </si>
  <si>
    <t xml:space="preserve">Lebanon Standalone</t>
  </si>
  <si>
    <t xml:space="preserve">بيانات الشركة التابعة في لبنان منفصلة</t>
  </si>
  <si>
    <t xml:space="preserve">10</t>
  </si>
  <si>
    <t xml:space="preserve">Forecast Inputs</t>
  </si>
  <si>
    <r>
      <rPr>
        <sz val="11"/>
        <color rgb="FF5B6273"/>
        <rFont val="FreeSans"/>
        <family val="2"/>
      </rPr>
      <t xml:space="preserve">كل البيانات التاريخية اللازمة للتنبؤ بـ </t>
    </r>
    <r>
      <rPr>
        <sz val="11"/>
        <color rgb="FF5B6273"/>
        <rFont val="Calibri"/>
        <family val="0"/>
        <charset val="1"/>
      </rPr>
      <t xml:space="preserve">Q2 2026</t>
    </r>
  </si>
  <si>
    <r>
      <rPr>
        <b val="true"/>
        <sz val="13"/>
        <color rgb="FF2E5C8A"/>
        <rFont val="FreeSans"/>
        <family val="2"/>
      </rPr>
      <t xml:space="preserve">🎯 الـ </t>
    </r>
    <r>
      <rPr>
        <b val="true"/>
        <sz val="13"/>
        <color rgb="FF2E5C8A"/>
        <rFont val="Calibri"/>
        <family val="0"/>
        <charset val="1"/>
      </rPr>
      <t xml:space="preserve">Insights </t>
    </r>
    <r>
      <rPr>
        <b val="true"/>
        <sz val="13"/>
        <color rgb="FF2E5C8A"/>
        <rFont val="FreeSans"/>
        <family val="2"/>
      </rPr>
      <t xml:space="preserve">الأساسية من </t>
    </r>
    <r>
      <rPr>
        <b val="true"/>
        <sz val="13"/>
        <color rgb="FF2E5C8A"/>
        <rFont val="Calibri"/>
        <family val="0"/>
        <charset val="1"/>
      </rPr>
      <t xml:space="preserve">Q1 2026</t>
    </r>
  </si>
  <si>
    <t xml:space="preserve">1</t>
  </si>
  <si>
    <t xml:space="preserve">Revenue +15.7%, GP −10.2%</t>
  </si>
  <si>
    <r>
      <rPr>
        <sz val="11"/>
        <color rgb="FF5B6273"/>
        <rFont val="FreeSans"/>
        <family val="2"/>
      </rPr>
      <t xml:space="preserve">الإيرادات نمت لكن مجمل الربح نزل </t>
    </r>
    <r>
      <rPr>
        <sz val="11"/>
        <color rgb="FF5B6273"/>
        <rFont val="Calibri"/>
        <family val="0"/>
        <charset val="1"/>
      </rPr>
      <t xml:space="preserve">· </t>
    </r>
    <r>
      <rPr>
        <sz val="11"/>
        <color rgb="FF5B6273"/>
        <rFont val="FreeSans"/>
        <family val="2"/>
      </rPr>
      <t xml:space="preserve">المشكلة في التكاليف</t>
    </r>
  </si>
  <si>
    <t xml:space="preserve">2</t>
  </si>
  <si>
    <r>
      <rPr>
        <b val="true"/>
        <sz val="11"/>
        <color rgb="FF1A1D24"/>
        <rFont val="Calibri"/>
        <family val="0"/>
        <charset val="1"/>
      </rPr>
      <t xml:space="preserve">COGS </t>
    </r>
    <r>
      <rPr>
        <b val="true"/>
        <sz val="11"/>
        <color rgb="FF1A1D24"/>
        <rFont val="FreeSans"/>
        <family val="2"/>
      </rPr>
      <t xml:space="preserve">قفز إلى </t>
    </r>
    <r>
      <rPr>
        <b val="true"/>
        <sz val="11"/>
        <color rgb="FF1A1D24"/>
        <rFont val="Calibri"/>
        <family val="0"/>
        <charset val="1"/>
      </rPr>
      <t xml:space="preserve">79.8% </t>
    </r>
    <r>
      <rPr>
        <b val="true"/>
        <sz val="11"/>
        <color rgb="FF1A1D24"/>
        <rFont val="FreeSans"/>
        <family val="2"/>
      </rPr>
      <t xml:space="preserve">من الإيراد</t>
    </r>
  </si>
  <si>
    <r>
      <rPr>
        <sz val="11"/>
        <color rgb="FF5B6273"/>
        <rFont val="FreeSans"/>
        <family val="2"/>
      </rPr>
      <t xml:space="preserve">كان </t>
    </r>
    <r>
      <rPr>
        <sz val="11"/>
        <color rgb="FF5B6273"/>
        <rFont val="Calibri"/>
        <family val="0"/>
        <charset val="1"/>
      </rPr>
      <t xml:space="preserve">73.9% </t>
    </r>
    <r>
      <rPr>
        <sz val="11"/>
        <color rgb="FF5B6273"/>
        <rFont val="FreeSans"/>
        <family val="2"/>
      </rPr>
      <t xml:space="preserve">في </t>
    </r>
    <r>
      <rPr>
        <sz val="11"/>
        <color rgb="FF5B6273"/>
        <rFont val="Calibri"/>
        <family val="0"/>
        <charset val="1"/>
      </rPr>
      <t xml:space="preserve">Q1 2025 </t>
    </r>
    <r>
      <rPr>
        <sz val="11"/>
        <color rgb="FF5B6273"/>
        <rFont val="FreeSans"/>
        <family val="2"/>
      </rPr>
      <t xml:space="preserve">و </t>
    </r>
    <r>
      <rPr>
        <sz val="11"/>
        <color rgb="FF5B6273"/>
        <rFont val="Calibri"/>
        <family val="0"/>
        <charset val="1"/>
      </rPr>
      <t xml:space="preserve">77% </t>
    </r>
    <r>
      <rPr>
        <sz val="11"/>
        <color rgb="FF5B6273"/>
        <rFont val="FreeSans"/>
        <family val="2"/>
      </rPr>
      <t xml:space="preserve">في </t>
    </r>
    <r>
      <rPr>
        <sz val="11"/>
        <color rgb="FF5B6273"/>
        <rFont val="Calibri"/>
        <family val="0"/>
        <charset val="1"/>
      </rPr>
      <t xml:space="preserve">FY 2025 · </t>
    </r>
    <r>
      <rPr>
        <sz val="11"/>
        <color rgb="FF5B6273"/>
        <rFont val="FreeSans"/>
        <family val="2"/>
      </rPr>
      <t xml:space="preserve">الاتجاه التدهور مستمر</t>
    </r>
  </si>
  <si>
    <t xml:space="preserve">3</t>
  </si>
  <si>
    <r>
      <rPr>
        <b val="true"/>
        <sz val="11"/>
        <color rgb="FF1A1D24"/>
        <rFont val="Calibri"/>
        <family val="0"/>
        <charset val="1"/>
      </rPr>
      <t xml:space="preserve">Net Profit </t>
    </r>
    <r>
      <rPr>
        <b val="true"/>
        <sz val="11"/>
        <color rgb="FF1A1D24"/>
        <rFont val="FreeSans"/>
        <family val="2"/>
      </rPr>
      <t xml:space="preserve">نزل −</t>
    </r>
    <r>
      <rPr>
        <b val="true"/>
        <sz val="11"/>
        <color rgb="FF1A1D24"/>
        <rFont val="Calibri"/>
        <family val="0"/>
        <charset val="1"/>
      </rPr>
      <t xml:space="preserve">49% YoY</t>
    </r>
  </si>
  <si>
    <r>
      <rPr>
        <sz val="11"/>
        <color rgb="FF5B6273"/>
        <rFont val="Calibri"/>
        <family val="0"/>
        <charset val="1"/>
      </rPr>
      <t xml:space="preserve">47.4M </t>
    </r>
    <r>
      <rPr>
        <sz val="11"/>
        <color rgb="FF5B6273"/>
        <rFont val="FreeSans"/>
        <family val="2"/>
      </rPr>
      <t xml:space="preserve">جنيه فقط في </t>
    </r>
    <r>
      <rPr>
        <sz val="11"/>
        <color rgb="FF5B6273"/>
        <rFont val="Calibri"/>
        <family val="0"/>
        <charset val="1"/>
      </rPr>
      <t xml:space="preserve">Q1 2026 vs 92.9M </t>
    </r>
    <r>
      <rPr>
        <sz val="11"/>
        <color rgb="FF5B6273"/>
        <rFont val="FreeSans"/>
        <family val="2"/>
      </rPr>
      <t xml:space="preserve">في </t>
    </r>
    <r>
      <rPr>
        <sz val="11"/>
        <color rgb="FF5B6273"/>
        <rFont val="Calibri"/>
        <family val="0"/>
        <charset val="1"/>
      </rPr>
      <t xml:space="preserve">Q1 2025</t>
    </r>
  </si>
  <si>
    <t xml:space="preserve">4</t>
  </si>
  <si>
    <r>
      <rPr>
        <b val="true"/>
        <sz val="11"/>
        <color rgb="FF1A1D24"/>
        <rFont val="FreeSans"/>
        <family val="2"/>
      </rPr>
      <t xml:space="preserve">الجنيه ضعف تاني نهاية مارس </t>
    </r>
    <r>
      <rPr>
        <b val="true"/>
        <sz val="11"/>
        <color rgb="FF1A1D24"/>
        <rFont val="Calibri"/>
        <family val="0"/>
        <charset val="1"/>
      </rPr>
      <t xml:space="preserve">2026</t>
    </r>
  </si>
  <si>
    <r>
      <rPr>
        <sz val="11"/>
        <color rgb="FF5B6273"/>
        <rFont val="Calibri"/>
        <family val="0"/>
        <charset val="1"/>
      </rPr>
      <t xml:space="preserve">USD </t>
    </r>
    <r>
      <rPr>
        <sz val="11"/>
        <color rgb="FF5B6273"/>
        <rFont val="FreeSans"/>
        <family val="2"/>
      </rPr>
      <t xml:space="preserve">إقفال </t>
    </r>
    <r>
      <rPr>
        <sz val="11"/>
        <color rgb="FF5B6273"/>
        <rFont val="Calibri"/>
        <family val="0"/>
        <charset val="1"/>
      </rPr>
      <t xml:space="preserve">54.59 vs 47.67 (+14.5%) · </t>
    </r>
    <r>
      <rPr>
        <sz val="11"/>
        <color rgb="FF5B6273"/>
        <rFont val="FreeSans"/>
        <family val="2"/>
      </rPr>
      <t xml:space="preserve">هيظهر مكسب </t>
    </r>
    <r>
      <rPr>
        <sz val="11"/>
        <color rgb="FF5B6273"/>
        <rFont val="Calibri"/>
        <family val="0"/>
        <charset val="1"/>
      </rPr>
      <t xml:space="preserve">FX </t>
    </r>
    <r>
      <rPr>
        <sz val="11"/>
        <color rgb="FF5B6273"/>
        <rFont val="FreeSans"/>
        <family val="2"/>
      </rPr>
      <t xml:space="preserve">جديد في </t>
    </r>
    <r>
      <rPr>
        <sz val="11"/>
        <color rgb="FF5B6273"/>
        <rFont val="Calibri"/>
        <family val="0"/>
        <charset val="1"/>
      </rPr>
      <t xml:space="preserve">Q2</t>
    </r>
  </si>
  <si>
    <t xml:space="preserve">5</t>
  </si>
  <si>
    <r>
      <rPr>
        <b val="true"/>
        <sz val="11"/>
        <color rgb="FF1A1D24"/>
        <rFont val="FreeSans"/>
        <family val="2"/>
      </rPr>
      <t xml:space="preserve">المخزون قفز </t>
    </r>
    <r>
      <rPr>
        <b val="true"/>
        <sz val="11"/>
        <color rgb="FF1A1D24"/>
        <rFont val="Calibri"/>
        <family val="0"/>
        <charset val="1"/>
      </rPr>
      <t xml:space="preserve">+291M </t>
    </r>
    <r>
      <rPr>
        <b val="true"/>
        <sz val="11"/>
        <color rgb="FF1A1D24"/>
        <rFont val="FreeSans"/>
        <family val="2"/>
      </rPr>
      <t xml:space="preserve">في </t>
    </r>
    <r>
      <rPr>
        <b val="true"/>
        <sz val="11"/>
        <color rgb="FF1A1D24"/>
        <rFont val="Calibri"/>
        <family val="0"/>
        <charset val="1"/>
      </rPr>
      <t xml:space="preserve">3 </t>
    </r>
    <r>
      <rPr>
        <b val="true"/>
        <sz val="11"/>
        <color rgb="FF1A1D24"/>
        <rFont val="FreeSans"/>
        <family val="2"/>
      </rPr>
      <t xml:space="preserve">شهور</t>
    </r>
  </si>
  <si>
    <r>
      <rPr>
        <sz val="11"/>
        <color rgb="FF5B6273"/>
        <rFont val="Calibri"/>
        <family val="0"/>
        <charset val="1"/>
      </rPr>
      <t xml:space="preserve">+10% </t>
    </r>
    <r>
      <rPr>
        <sz val="11"/>
        <color rgb="FF5B6273"/>
        <rFont val="FreeSans"/>
        <family val="2"/>
      </rPr>
      <t xml:space="preserve">في ربع واحد </t>
    </r>
    <r>
      <rPr>
        <sz val="11"/>
        <color rgb="FF5B6273"/>
        <rFont val="Calibri"/>
        <family val="0"/>
        <charset val="1"/>
      </rPr>
      <t xml:space="preserve">· </t>
    </r>
    <r>
      <rPr>
        <sz val="11"/>
        <color rgb="FF5B6273"/>
        <rFont val="FreeSans"/>
        <family val="2"/>
      </rPr>
      <t xml:space="preserve">الـ </t>
    </r>
    <r>
      <rPr>
        <sz val="11"/>
        <color rgb="FF5B6273"/>
        <rFont val="Calibri"/>
        <family val="0"/>
        <charset val="1"/>
      </rPr>
      <t xml:space="preserve">Cash Trap </t>
    </r>
    <r>
      <rPr>
        <sz val="11"/>
        <color rgb="FF5B6273"/>
        <rFont val="FreeSans"/>
        <family val="2"/>
      </rPr>
      <t xml:space="preserve">بيتعمّق</t>
    </r>
  </si>
  <si>
    <t xml:space="preserve">6</t>
  </si>
  <si>
    <r>
      <rPr>
        <b val="true"/>
        <sz val="11"/>
        <color rgb="FF1A1D24"/>
        <rFont val="FreeSans"/>
        <family val="2"/>
      </rPr>
      <t xml:space="preserve">التسهيلات الائتمانية </t>
    </r>
    <r>
      <rPr>
        <b val="true"/>
        <sz val="11"/>
        <color rgb="FF1A1D24"/>
        <rFont val="Calibri"/>
        <family val="0"/>
        <charset val="1"/>
      </rPr>
      <t xml:space="preserve">+558M</t>
    </r>
  </si>
  <si>
    <t xml:space="preserve">الشركة اقترضت أكتر عشان تموّل العمليات والمخزون</t>
  </si>
  <si>
    <t xml:space="preserve">Q1 2026 — Headline Comparison</t>
  </si>
  <si>
    <r>
      <rPr>
        <i val="true"/>
        <sz val="11"/>
        <color rgb="FF5B6273"/>
        <rFont val="FreeSans"/>
        <family val="2"/>
      </rPr>
      <t xml:space="preserve">أهم الأرقام </t>
    </r>
    <r>
      <rPr>
        <i val="true"/>
        <sz val="11"/>
        <color rgb="FF5B6273"/>
        <rFont val="Calibri"/>
        <family val="0"/>
        <charset val="1"/>
      </rPr>
      <t xml:space="preserve">· Q1 2026 vs Q1 2025 </t>
    </r>
    <r>
      <rPr>
        <i val="true"/>
        <sz val="11"/>
        <color rgb="FF5B6273"/>
        <rFont val="FreeSans"/>
        <family val="2"/>
      </rPr>
      <t xml:space="preserve">جنب بعض</t>
    </r>
  </si>
  <si>
    <t xml:space="preserve">📄 Source: Lecico Q1 2026 Financial Statements (issued 25 May 2026)</t>
  </si>
  <si>
    <t xml:space="preserve">Metric (EGP M)</t>
  </si>
  <si>
    <t xml:space="preserve">Q1 2026</t>
  </si>
  <si>
    <t xml:space="preserve">Q1 2025</t>
  </si>
  <si>
    <t xml:space="preserve">Δ Abs</t>
  </si>
  <si>
    <t xml:space="preserve">Δ YoY %</t>
  </si>
  <si>
    <t xml:space="preserve">Net Sales (Revenue)</t>
  </si>
  <si>
    <t xml:space="preserve">Cost of Sales</t>
  </si>
  <si>
    <t xml:space="preserve">Gross Profit</t>
  </si>
  <si>
    <t xml:space="preserve">Gross Margin %</t>
  </si>
  <si>
    <t xml:space="preserve">—</t>
  </si>
  <si>
    <t xml:space="preserve">Operating Expenses (net)</t>
  </si>
  <si>
    <t xml:space="preserve">EBIT (Operating Profit)</t>
  </si>
  <si>
    <t xml:space="preserve">EBIT Margin %</t>
  </si>
  <si>
    <t xml:space="preserve">Net Finance Income/(Expense)</t>
  </si>
  <si>
    <t xml:space="preserve">Profit Before Tax</t>
  </si>
  <si>
    <t xml:space="preserve">Income Tax</t>
  </si>
  <si>
    <t xml:space="preserve">Net Profit</t>
  </si>
  <si>
    <t xml:space="preserve">Net Margin %</t>
  </si>
  <si>
    <t xml:space="preserve">Attributable to Shareholders</t>
  </si>
  <si>
    <t xml:space="preserve">EPS (EGP/share)</t>
  </si>
  <si>
    <r>
      <rPr>
        <b val="true"/>
        <sz val="13"/>
        <color rgb="FF2E5C8A"/>
        <rFont val="FreeSans"/>
        <family val="2"/>
      </rPr>
      <t xml:space="preserve">🎯 الـ </t>
    </r>
    <r>
      <rPr>
        <b val="true"/>
        <sz val="13"/>
        <color rgb="FF2E5C8A"/>
        <rFont val="Calibri"/>
        <family val="0"/>
        <charset val="1"/>
      </rPr>
      <t xml:space="preserve">Headline </t>
    </r>
    <r>
      <rPr>
        <b val="true"/>
        <sz val="13"/>
        <color rgb="FF2E5C8A"/>
        <rFont val="FreeSans"/>
        <family val="2"/>
      </rPr>
      <t xml:space="preserve">في جملة</t>
    </r>
  </si>
  <si>
    <r>
      <rPr>
        <sz val="11"/>
        <color rgb="FF1A1D24"/>
        <rFont val="FreeSans"/>
        <family val="2"/>
      </rPr>
      <t xml:space="preserve">الإيرادات نمت </t>
    </r>
    <r>
      <rPr>
        <sz val="11"/>
        <color rgb="FF1A1D24"/>
        <rFont val="Calibri"/>
        <family val="0"/>
        <charset val="1"/>
      </rPr>
      <t xml:space="preserve">+15.7% </t>
    </r>
    <r>
      <rPr>
        <sz val="11"/>
        <color rgb="FF1A1D24"/>
        <rFont val="FreeSans"/>
        <family val="2"/>
      </rPr>
      <t xml:space="preserve">بس الربح الصافي نزل −</t>
    </r>
    <r>
      <rPr>
        <sz val="11"/>
        <color rgb="FF1A1D24"/>
        <rFont val="Calibri"/>
        <family val="0"/>
        <charset val="1"/>
      </rPr>
      <t xml:space="preserve">49%. </t>
    </r>
    <r>
      <rPr>
        <sz val="11"/>
        <color rgb="FF1A1D24"/>
        <rFont val="FreeSans"/>
        <family val="2"/>
      </rPr>
      <t xml:space="preserve">السبب</t>
    </r>
    <r>
      <rPr>
        <sz val="11"/>
        <color rgb="FF1A1D24"/>
        <rFont val="Calibri"/>
        <family val="0"/>
        <charset val="1"/>
      </rPr>
      <t xml:space="preserve">: </t>
    </r>
    <r>
      <rPr>
        <sz val="11"/>
        <color rgb="FF1A1D24"/>
        <rFont val="FreeSans"/>
        <family val="2"/>
      </rPr>
      <t xml:space="preserve">التكاليف بتطلع أسرع من الأسعار</t>
    </r>
    <r>
      <rPr>
        <sz val="11"/>
        <color rgb="FF1A1D24"/>
        <rFont val="Calibri"/>
        <family val="0"/>
        <charset val="1"/>
      </rPr>
      <t xml:space="preserve">. </t>
    </r>
    <r>
      <rPr>
        <sz val="11"/>
        <color rgb="FF1A1D24"/>
        <rFont val="FreeSans"/>
        <family val="2"/>
      </rPr>
      <t xml:space="preserve">كل النمو المعلن في الإيرادات بيتأكل في الـ </t>
    </r>
    <r>
      <rPr>
        <sz val="11"/>
        <color rgb="FF1A1D24"/>
        <rFont val="Calibri"/>
        <family val="0"/>
        <charset val="1"/>
      </rPr>
      <t xml:space="preserve">COGS </t>
    </r>
    <r>
      <rPr>
        <sz val="11"/>
        <color rgb="FF1A1D24"/>
        <rFont val="FreeSans"/>
        <family val="2"/>
      </rPr>
      <t xml:space="preserve">قبل ما يوصل لأي خط في الربح</t>
    </r>
    <r>
      <rPr>
        <sz val="11"/>
        <color rgb="FF1A1D24"/>
        <rFont val="Calibri"/>
        <family val="0"/>
        <charset val="1"/>
      </rPr>
      <t xml:space="preserve">.</t>
    </r>
  </si>
  <si>
    <t xml:space="preserve">Q1 2026 — Full Income Statement</t>
  </si>
  <si>
    <t xml:space="preserve">قائمة الدخل التفصيلية الكاملة</t>
  </si>
  <si>
    <t xml:space="preserve">📄 Source: Q1 2026 Financial Statements · Statement of Profit or Loss</t>
  </si>
  <si>
    <t xml:space="preserve">Item (EGP M)</t>
  </si>
  <si>
    <t xml:space="preserve">YoY %</t>
  </si>
  <si>
    <t xml:space="preserve">REVENUE</t>
  </si>
  <si>
    <t xml:space="preserve">Net Sales</t>
  </si>
  <si>
    <t xml:space="preserve">OPERATING COSTS &amp; EXPENSES</t>
  </si>
  <si>
    <t xml:space="preserve">Other Income</t>
  </si>
  <si>
    <t xml:space="preserve">Selling &amp; Distribution Expenses</t>
  </si>
  <si>
    <t xml:space="preserve">General &amp; Administrative Expenses</t>
  </si>
  <si>
    <t xml:space="preserve">Expected Credit Loss</t>
  </si>
  <si>
    <t xml:space="preserve">Other Expenses</t>
  </si>
  <si>
    <t xml:space="preserve">Profit from Operating Activities (EBIT)</t>
  </si>
  <si>
    <t xml:space="preserve">BELOW THE LINE</t>
  </si>
  <si>
    <t xml:space="preserve">Share from Investments at FV through P&amp;L</t>
  </si>
  <si>
    <t xml:space="preserve">Net Finance Expenses</t>
  </si>
  <si>
    <t xml:space="preserve">Income Tax Expense</t>
  </si>
  <si>
    <t xml:space="preserve">Net Profit for the Period</t>
  </si>
  <si>
    <t xml:space="preserve">ATTRIBUTION</t>
  </si>
  <si>
    <t xml:space="preserve">Attributable to Shareholders of Holding Co.</t>
  </si>
  <si>
    <t xml:space="preserve">Attributable to NCI</t>
  </si>
  <si>
    <t xml:space="preserve">EPS (EGP per Share)</t>
  </si>
  <si>
    <t xml:space="preserve">Balance Sheet — Mar 31, 2026 vs Dec 31, 2025</t>
  </si>
  <si>
    <r>
      <rPr>
        <i val="true"/>
        <sz val="11"/>
        <color rgb="FF5B6273"/>
        <rFont val="FreeSans"/>
        <family val="2"/>
      </rPr>
      <t xml:space="preserve">الميزانية في نهاية </t>
    </r>
    <r>
      <rPr>
        <i val="true"/>
        <sz val="11"/>
        <color rgb="FF5B6273"/>
        <rFont val="Calibri"/>
        <family val="0"/>
        <charset val="1"/>
      </rPr>
      <t xml:space="preserve">Q1 2026 </t>
    </r>
    <r>
      <rPr>
        <i val="true"/>
        <sz val="11"/>
        <color rgb="FF5B6273"/>
        <rFont val="FreeSans"/>
        <family val="2"/>
      </rPr>
      <t xml:space="preserve">مقابل نهاية </t>
    </r>
    <r>
      <rPr>
        <i val="true"/>
        <sz val="11"/>
        <color rgb="FF5B6273"/>
        <rFont val="Calibri"/>
        <family val="0"/>
        <charset val="1"/>
      </rPr>
      <t xml:space="preserve">2025</t>
    </r>
  </si>
  <si>
    <t xml:space="preserve">📄 Source: Q1 2026 Financial Statements · Statement of Financial Position</t>
  </si>
  <si>
    <t xml:space="preserve">31 Mar 2026</t>
  </si>
  <si>
    <t xml:space="preserve">31 Dec 2025</t>
  </si>
  <si>
    <t xml:space="preserve">Δ %</t>
  </si>
  <si>
    <t xml:space="preserve">ASSETS</t>
  </si>
  <si>
    <t xml:space="preserve">Non-Current Assets</t>
  </si>
  <si>
    <t xml:space="preserve">Property, Plant &amp; Equipment</t>
  </si>
  <si>
    <t xml:space="preserve">Projects Under Construction</t>
  </si>
  <si>
    <t xml:space="preserve">Intangible Assets</t>
  </si>
  <si>
    <t xml:space="preserve">Equity-Accounted Investees</t>
  </si>
  <si>
    <t xml:space="preserve">Total Non-Current Assets</t>
  </si>
  <si>
    <t xml:space="preserve">Current Assets</t>
  </si>
  <si>
    <t xml:space="preserve">Inventories</t>
  </si>
  <si>
    <t xml:space="preserve">Trade &amp; Other Receivables</t>
  </si>
  <si>
    <t xml:space="preserve">Investments at FV through P&amp;L</t>
  </si>
  <si>
    <t xml:space="preserve">Cash &amp; Cash Equivalents</t>
  </si>
  <si>
    <t xml:space="preserve">Total Current Assets</t>
  </si>
  <si>
    <t xml:space="preserve">TOTAL ASSETS</t>
  </si>
  <si>
    <t xml:space="preserve">EQUITY &amp; LIABILITIES</t>
  </si>
  <si>
    <t xml:space="preserve">Equity</t>
  </si>
  <si>
    <t xml:space="preserve">Issued &amp; Paid-Up Capital</t>
  </si>
  <si>
    <t xml:space="preserve">Reserves</t>
  </si>
  <si>
    <t xml:space="preserve">Retained Earnings</t>
  </si>
  <si>
    <t xml:space="preserve">Equity Attributable to Holding Co.</t>
  </si>
  <si>
    <t xml:space="preserve">Non-Controlling Interest</t>
  </si>
  <si>
    <t xml:space="preserve">Total Equity</t>
  </si>
  <si>
    <t xml:space="preserve">Non-Current Liabilities</t>
  </si>
  <si>
    <t xml:space="preserve">Non-Current Lease Liabilities</t>
  </si>
  <si>
    <t xml:space="preserve">Long-Term Notes Payable</t>
  </si>
  <si>
    <t xml:space="preserve">Deferred Tax Liabilities</t>
  </si>
  <si>
    <t xml:space="preserve">Total Non-Current Liabilities</t>
  </si>
  <si>
    <t xml:space="preserve">Current Liabilities</t>
  </si>
  <si>
    <t xml:space="preserve">Banks Credit Facilities</t>
  </si>
  <si>
    <t xml:space="preserve">Accrued Income Tax</t>
  </si>
  <si>
    <t xml:space="preserve">Current Lease Liabilities</t>
  </si>
  <si>
    <t xml:space="preserve">Trade &amp; Other Payables</t>
  </si>
  <si>
    <t xml:space="preserve">Provisions</t>
  </si>
  <si>
    <t xml:space="preserve">Total Current Liabilities</t>
  </si>
  <si>
    <t xml:space="preserve">TOTAL LIABILITIES</t>
  </si>
  <si>
    <t xml:space="preserve">TOTAL EQUITY &amp; LIABILITIES</t>
  </si>
  <si>
    <t xml:space="preserve">Cash Flow — Q1 2026</t>
  </si>
  <si>
    <t xml:space="preserve">قائمة التدفقات النقدية للكوارتر</t>
  </si>
  <si>
    <t xml:space="preserve">📄 Source: Q1 2026 Financial Statements · Statement of Cash Flows</t>
  </si>
  <si>
    <t xml:space="preserve">OPERATING ACTIVITIES</t>
  </si>
  <si>
    <t xml:space="preserve">Net profit before tax</t>
  </si>
  <si>
    <t xml:space="preserve">Depreciation (PPE)</t>
  </si>
  <si>
    <t xml:space="preserve">Intangible amortization</t>
  </si>
  <si>
    <t xml:space="preserve">Interest expense on leases</t>
  </si>
  <si>
    <t xml:space="preserve">Finance expenses</t>
  </si>
  <si>
    <t xml:space="preserve">Income from FV investments</t>
  </si>
  <si>
    <t xml:space="preserve">Interest income</t>
  </si>
  <si>
    <t xml:space="preserve">FX translation differences</t>
  </si>
  <si>
    <t xml:space="preserve">Profit from operations (before WC)</t>
  </si>
  <si>
    <t xml:space="preserve">WORKING CAPITAL CHANGES</t>
  </si>
  <si>
    <t xml:space="preserve">Change in inventories</t>
  </si>
  <si>
    <t xml:space="preserve">Change in receivables</t>
  </si>
  <si>
    <t xml:space="preserve">Change in payables</t>
  </si>
  <si>
    <t xml:space="preserve">Change in provisions</t>
  </si>
  <si>
    <t xml:space="preserve">Total WC changes</t>
  </si>
  <si>
    <t xml:space="preserve">OTHER CASH ITEMS</t>
  </si>
  <si>
    <t xml:space="preserve">Interest received</t>
  </si>
  <si>
    <t xml:space="preserve">Interest paid</t>
  </si>
  <si>
    <t xml:space="preserve">Lease interest paid</t>
  </si>
  <si>
    <t xml:space="preserve">Income tax paid</t>
  </si>
  <si>
    <t xml:space="preserve">Net cash used in operating</t>
  </si>
  <si>
    <t xml:space="preserve">INVESTING ACTIVITIES</t>
  </si>
  <si>
    <t xml:space="preserve">PPE &amp; PUC payments</t>
  </si>
  <si>
    <t xml:space="preserve">Intangible payments</t>
  </si>
  <si>
    <t xml:space="preserve">Investment payments</t>
  </si>
  <si>
    <t xml:space="preserve">Net cash used in investing</t>
  </si>
  <si>
    <t xml:space="preserve">FINANCING ACTIVITIES</t>
  </si>
  <si>
    <t xml:space="preserve">Loan repayments</t>
  </si>
  <si>
    <t xml:space="preserve">Lease liability payments</t>
  </si>
  <si>
    <t xml:space="preserve">Net proceeds from credit facilities</t>
  </si>
  <si>
    <t xml:space="preserve">Net cash from financing</t>
  </si>
  <si>
    <t xml:space="preserve">CHANGE IN CASH</t>
  </si>
  <si>
    <t xml:space="preserve">Net change in cash</t>
  </si>
  <si>
    <t xml:space="preserve">Cash at beginning of period</t>
  </si>
  <si>
    <t xml:space="preserve">Restricted time deposits adj.</t>
  </si>
  <si>
    <t xml:space="preserve">Cash at end of period</t>
  </si>
  <si>
    <t xml:space="preserve">Q1 2026 — Revenue by Product</t>
  </si>
  <si>
    <t xml:space="preserve">تفصيل الإيرادات حسب المنتج</t>
  </si>
  <si>
    <t xml:space="preserve">📄 Source: Q1 2026 Financial Statements · Note 5 (Segment Information)</t>
  </si>
  <si>
    <t xml:space="preserve">Product</t>
  </si>
  <si>
    <t xml:space="preserve">Q1 26 Mix</t>
  </si>
  <si>
    <t xml:space="preserve">Q1 25 Mix</t>
  </si>
  <si>
    <t xml:space="preserve">Sanitary Ware</t>
  </si>
  <si>
    <t xml:space="preserve">Tiles (Ceramic)</t>
  </si>
  <si>
    <t xml:space="preserve">Brassware</t>
  </si>
  <si>
    <t xml:space="preserve">Total Net Sales</t>
  </si>
  <si>
    <t xml:space="preserve">ملاحظات</t>
  </si>
  <si>
    <r>
      <rPr>
        <sz val="11"/>
        <color rgb="FF1A1D24"/>
        <rFont val="Calibri"/>
        <family val="0"/>
        <charset val="1"/>
      </rPr>
      <t xml:space="preserve">Sanitary Ware: </t>
    </r>
    <r>
      <rPr>
        <sz val="11"/>
        <color rgb="FF1A1D24"/>
        <rFont val="FreeSans"/>
        <family val="2"/>
      </rPr>
      <t xml:space="preserve">نمو </t>
    </r>
    <r>
      <rPr>
        <sz val="11"/>
        <color rgb="FF1A1D24"/>
        <rFont val="Calibri"/>
        <family val="0"/>
        <charset val="1"/>
      </rPr>
      <t xml:space="preserve">+17% YoY · </t>
    </r>
    <r>
      <rPr>
        <sz val="11"/>
        <color rgb="FF1A1D24"/>
        <rFont val="FreeSans"/>
        <family val="2"/>
      </rPr>
      <t xml:space="preserve">ولكن</t>
    </r>
    <r>
      <rPr>
        <sz val="11"/>
        <color rgb="FF1A1D24"/>
        <rFont val="Calibri"/>
        <family val="0"/>
        <charset val="1"/>
      </rPr>
      <t xml:space="preserve">: </t>
    </r>
    <r>
      <rPr>
        <sz val="11"/>
        <color rgb="FF1A1D24"/>
        <rFont val="FreeSans"/>
        <family val="2"/>
      </rPr>
      <t xml:space="preserve">من علمنا في </t>
    </r>
    <r>
      <rPr>
        <sz val="11"/>
        <color rgb="FF1A1D24"/>
        <rFont val="Calibri"/>
        <family val="0"/>
        <charset val="1"/>
      </rPr>
      <t xml:space="preserve">2025</t>
    </r>
    <r>
      <rPr>
        <sz val="11"/>
        <color rgb="FF1A1D24"/>
        <rFont val="FreeSans"/>
        <family val="2"/>
      </rPr>
      <t xml:space="preserve">، النمو غالباً من الأسعار</t>
    </r>
    <r>
      <rPr>
        <sz val="11"/>
        <color rgb="FF1A1D24"/>
        <rFont val="Calibri"/>
        <family val="0"/>
        <charset val="1"/>
      </rPr>
      <t xml:space="preserve">/FX </t>
    </r>
    <r>
      <rPr>
        <sz val="11"/>
        <color rgb="FF1A1D24"/>
        <rFont val="FreeSans"/>
        <family val="2"/>
      </rPr>
      <t xml:space="preserve">مش الكميات</t>
    </r>
    <r>
      <rPr>
        <sz val="11"/>
        <color rgb="FF1A1D24"/>
        <rFont val="Calibri"/>
        <family val="0"/>
        <charset val="1"/>
      </rPr>
      <t xml:space="preserve">. Brassware: </t>
    </r>
    <r>
      <rPr>
        <sz val="11"/>
        <color rgb="FF1A1D24"/>
        <rFont val="FreeSans"/>
        <family val="2"/>
      </rPr>
      <t xml:space="preserve">قفزة </t>
    </r>
    <r>
      <rPr>
        <sz val="11"/>
        <color rgb="FF1A1D24"/>
        <rFont val="Calibri"/>
        <family val="0"/>
        <charset val="1"/>
      </rPr>
      <t xml:space="preserve">+71% YoY — </t>
    </r>
    <r>
      <rPr>
        <sz val="11"/>
        <color rgb="FF1A1D24"/>
        <rFont val="FreeSans"/>
        <family val="2"/>
      </rPr>
      <t xml:space="preserve">لكن قاعدة صغيرة فمعدل غير مستدام</t>
    </r>
    <r>
      <rPr>
        <sz val="11"/>
        <color rgb="FF1A1D24"/>
        <rFont val="Calibri"/>
        <family val="0"/>
        <charset val="1"/>
      </rPr>
      <t xml:space="preserve">. Tiles: +7.9% YoY </t>
    </r>
    <r>
      <rPr>
        <sz val="11"/>
        <color rgb="FF1A1D24"/>
        <rFont val="FreeSans"/>
        <family val="2"/>
      </rPr>
      <t xml:space="preserve">فقط — الأقل نمواً، يعكس ضعف السوق المحلي للسيراميك</t>
    </r>
    <r>
      <rPr>
        <sz val="11"/>
        <color rgb="FF1A1D24"/>
        <rFont val="Calibri"/>
        <family val="0"/>
        <charset val="1"/>
      </rPr>
      <t xml:space="preserve">.</t>
    </r>
  </si>
  <si>
    <t xml:space="preserve">Q1 2026 — Revenue by Geography</t>
  </si>
  <si>
    <t xml:space="preserve">تفصيل الإيرادات حسب المنطقة الجغرافية</t>
  </si>
  <si>
    <t xml:space="preserve">📄 Source: Q1 2026 Financial Statements · Note 4 + Note 5-2</t>
  </si>
  <si>
    <t xml:space="preserve">Operating Segments (by entity location)</t>
  </si>
  <si>
    <t xml:space="preserve">Segment</t>
  </si>
  <si>
    <t xml:space="preserve">Egypt operations</t>
  </si>
  <si>
    <t xml:space="preserve">Lebanon operations</t>
  </si>
  <si>
    <t xml:space="preserve">Others (UK/SA/Poland)</t>
  </si>
  <si>
    <t xml:space="preserve">Total</t>
  </si>
  <si>
    <t xml:space="preserve">Inside vs Outside Egypt (by customer location)</t>
  </si>
  <si>
    <t xml:space="preserve">Region</t>
  </si>
  <si>
    <t xml:space="preserve">Inside Egypt</t>
  </si>
  <si>
    <t xml:space="preserve">Outside Egypt</t>
  </si>
  <si>
    <r>
      <rPr>
        <b val="true"/>
        <sz val="13"/>
        <color rgb="FF2E5C8A"/>
        <rFont val="FreeSans"/>
        <family val="2"/>
      </rPr>
      <t xml:space="preserve">الـ </t>
    </r>
    <r>
      <rPr>
        <b val="true"/>
        <sz val="13"/>
        <color rgb="FF2E5C8A"/>
        <rFont val="Calibri"/>
        <family val="0"/>
        <charset val="1"/>
      </rPr>
      <t xml:space="preserve">Insight </t>
    </r>
    <r>
      <rPr>
        <b val="true"/>
        <sz val="13"/>
        <color rgb="FF2E5C8A"/>
        <rFont val="FreeSans"/>
        <family val="2"/>
      </rPr>
      <t xml:space="preserve">المهم</t>
    </r>
  </si>
  <si>
    <r>
      <rPr>
        <sz val="11"/>
        <color rgb="FF1A1D24"/>
        <rFont val="FreeSans"/>
        <family val="2"/>
      </rPr>
      <t xml:space="preserve">صادرات </t>
    </r>
    <r>
      <rPr>
        <sz val="11"/>
        <color rgb="FF1A1D24"/>
        <rFont val="Calibri"/>
        <family val="0"/>
        <charset val="1"/>
      </rPr>
      <t xml:space="preserve">+71% YoY </t>
    </r>
    <r>
      <rPr>
        <sz val="11"/>
        <color rgb="FF1A1D24"/>
        <rFont val="FreeSans"/>
        <family val="2"/>
      </rPr>
      <t xml:space="preserve">بينما السوق المحلي </t>
    </r>
    <r>
      <rPr>
        <sz val="11"/>
        <color rgb="FF1A1D24"/>
        <rFont val="Calibri"/>
        <family val="0"/>
        <charset val="1"/>
      </rPr>
      <t xml:space="preserve">+5.2% </t>
    </r>
    <r>
      <rPr>
        <sz val="11"/>
        <color rgb="FF1A1D24"/>
        <rFont val="FreeSans"/>
        <family val="2"/>
      </rPr>
      <t xml:space="preserve">فقط</t>
    </r>
    <r>
      <rPr>
        <sz val="11"/>
        <color rgb="FF1A1D24"/>
        <rFont val="Calibri"/>
        <family val="0"/>
        <charset val="1"/>
      </rPr>
      <t xml:space="preserve">. </t>
    </r>
    <r>
      <rPr>
        <sz val="11"/>
        <color rgb="FF1A1D24"/>
        <rFont val="FreeSans"/>
        <family val="2"/>
      </rPr>
      <t xml:space="preserve">ده تأكيد إضافي إن النمو يعتمد على تعويم الجنيه — مش على نمو حقيقي للطلب في مصر</t>
    </r>
    <r>
      <rPr>
        <sz val="11"/>
        <color rgb="FF1A1D24"/>
        <rFont val="Calibri"/>
        <family val="0"/>
        <charset val="1"/>
      </rPr>
      <t xml:space="preserve">.</t>
    </r>
  </si>
  <si>
    <t xml:space="preserve">Margin Analysis — Q1 Trend</t>
  </si>
  <si>
    <r>
      <rPr>
        <i val="true"/>
        <sz val="11"/>
        <color rgb="FF5B6273"/>
        <rFont val="FreeSans"/>
        <family val="2"/>
      </rPr>
      <t xml:space="preserve">تطور الهوامش وتركيب التكاليف </t>
    </r>
    <r>
      <rPr>
        <i val="true"/>
        <sz val="11"/>
        <color rgb="FF5B6273"/>
        <rFont val="Calibri"/>
        <family val="0"/>
        <charset val="1"/>
      </rPr>
      <t xml:space="preserve">· Q1 2024 → Q1 2026</t>
    </r>
  </si>
  <si>
    <t xml:space="preserve">📄 Source: Lecico Q1 quarterly data · Income Statements</t>
  </si>
  <si>
    <t xml:space="preserve">Q1 Margins Over 3 Years</t>
  </si>
  <si>
    <t xml:space="preserve">Margin</t>
  </si>
  <si>
    <t xml:space="preserve">Q1 2024</t>
  </si>
  <si>
    <t xml:space="preserve">Q1 25→26 Δpp</t>
  </si>
  <si>
    <t xml:space="preserve">Trend</t>
  </si>
  <si>
    <t xml:space="preserve">↓↓ Declining</t>
  </si>
  <si>
    <t xml:space="preserve">COGS Breakdown (Q1 2026 vs Q1 2025)</t>
  </si>
  <si>
    <t xml:space="preserve">Cost Component</t>
  </si>
  <si>
    <t xml:space="preserve">% of Revenue</t>
  </si>
  <si>
    <t xml:space="preserve">Raw materials and consumables</t>
  </si>
  <si>
    <t xml:space="preserve">Energy expense</t>
  </si>
  <si>
    <t xml:space="preserve">Depreciation (production)</t>
  </si>
  <si>
    <t xml:space="preserve">Employees' profit share</t>
  </si>
  <si>
    <t xml:space="preserve">Change in inventory (FG+WIP)</t>
  </si>
  <si>
    <t xml:space="preserve">Other production costs</t>
  </si>
  <si>
    <t xml:space="preserve">Total COGS</t>
  </si>
  <si>
    <r>
      <rPr>
        <sz val="11"/>
        <color rgb="FF1A1D24"/>
        <rFont val="FreeSans"/>
        <family val="2"/>
      </rPr>
      <t xml:space="preserve">أهم زيادتين</t>
    </r>
    <r>
      <rPr>
        <sz val="11"/>
        <color rgb="FF1A1D24"/>
        <rFont val="Calibri"/>
        <family val="0"/>
        <charset val="1"/>
      </rPr>
      <t xml:space="preserve">: </t>
    </r>
    <r>
      <rPr>
        <sz val="11"/>
        <color rgb="FF1A1D24"/>
        <rFont val="FreeSans"/>
        <family val="2"/>
      </rPr>
      <t xml:space="preserve">المواد الخام </t>
    </r>
    <r>
      <rPr>
        <sz val="11"/>
        <color rgb="FF1A1D24"/>
        <rFont val="Calibri"/>
        <family val="0"/>
        <charset val="1"/>
      </rPr>
      <t xml:space="preserve">+24.5% </t>
    </r>
    <r>
      <rPr>
        <sz val="11"/>
        <color rgb="FF1A1D24"/>
        <rFont val="FreeSans"/>
        <family val="2"/>
      </rPr>
      <t xml:space="preserve">والطاقة </t>
    </r>
    <r>
      <rPr>
        <sz val="11"/>
        <color rgb="FF1A1D24"/>
        <rFont val="Calibri"/>
        <family val="0"/>
        <charset val="1"/>
      </rPr>
      <t xml:space="preserve">+24.6%. </t>
    </r>
    <r>
      <rPr>
        <sz val="11"/>
        <color rgb="FF1A1D24"/>
        <rFont val="FreeSans"/>
        <family val="2"/>
      </rPr>
      <t xml:space="preserve">ده ضغط مباشر من تكاليف مستوردة </t>
    </r>
    <r>
      <rPr>
        <sz val="11"/>
        <color rgb="FF1A1D24"/>
        <rFont val="Calibri"/>
        <family val="0"/>
        <charset val="1"/>
      </rPr>
      <t xml:space="preserve">(</t>
    </r>
    <r>
      <rPr>
        <sz val="11"/>
        <color rgb="FF1A1D24"/>
        <rFont val="FreeSans"/>
        <family val="2"/>
      </rPr>
      <t xml:space="preserve">مواد</t>
    </r>
    <r>
      <rPr>
        <sz val="11"/>
        <color rgb="FF1A1D24"/>
        <rFont val="Calibri"/>
        <family val="0"/>
        <charset val="1"/>
      </rPr>
      <t xml:space="preserve">) </t>
    </r>
    <r>
      <rPr>
        <sz val="11"/>
        <color rgb="FF1A1D24"/>
        <rFont val="FreeSans"/>
        <family val="2"/>
      </rPr>
      <t xml:space="preserve">ومن تسعير الطاقة </t>
    </r>
    <r>
      <rPr>
        <sz val="11"/>
        <color rgb="FF1A1D24"/>
        <rFont val="Calibri"/>
        <family val="0"/>
        <charset val="1"/>
      </rPr>
      <t xml:space="preserve">(</t>
    </r>
    <r>
      <rPr>
        <sz val="11"/>
        <color rgb="FF1A1D24"/>
        <rFont val="FreeSans"/>
        <family val="2"/>
      </rPr>
      <t xml:space="preserve">غاز طبيعي</t>
    </r>
    <r>
      <rPr>
        <sz val="11"/>
        <color rgb="FF1A1D24"/>
        <rFont val="Calibri"/>
        <family val="0"/>
        <charset val="1"/>
      </rPr>
      <t xml:space="preserve">). </t>
    </r>
    <r>
      <rPr>
        <sz val="11"/>
        <color rgb="FF1A1D24"/>
        <rFont val="FreeSans"/>
        <family val="2"/>
      </rPr>
      <t xml:space="preserve">كله متطابق مع قصة </t>
    </r>
    <r>
      <rPr>
        <sz val="11"/>
        <color rgb="FF1A1D24"/>
        <rFont val="Calibri"/>
        <family val="0"/>
        <charset val="1"/>
      </rPr>
      <t xml:space="preserve">COGS </t>
    </r>
    <r>
      <rPr>
        <sz val="11"/>
        <color rgb="FF1A1D24"/>
        <rFont val="FreeSans"/>
        <family val="2"/>
      </rPr>
      <t xml:space="preserve">الـ </t>
    </r>
    <r>
      <rPr>
        <sz val="11"/>
        <color rgb="FF1A1D24"/>
        <rFont val="Calibri"/>
        <family val="0"/>
        <charset val="1"/>
      </rPr>
      <t xml:space="preserve">79.8% </t>
    </r>
    <r>
      <rPr>
        <sz val="11"/>
        <color rgb="FF1A1D24"/>
        <rFont val="FreeSans"/>
        <family val="2"/>
      </rPr>
      <t xml:space="preserve">من الإيراد</t>
    </r>
    <r>
      <rPr>
        <sz val="11"/>
        <color rgb="FF1A1D24"/>
        <rFont val="Calibri"/>
        <family val="0"/>
        <charset val="1"/>
      </rPr>
      <t xml:space="preserve">.</t>
    </r>
  </si>
  <si>
    <t xml:space="preserve">FX Rates — Q1 2026 Update</t>
  </si>
  <si>
    <r>
      <rPr>
        <i val="true"/>
        <sz val="11"/>
        <color rgb="FF5B6273"/>
        <rFont val="FreeSans"/>
        <family val="2"/>
      </rPr>
      <t xml:space="preserve">أسعار الصرف ومعدلاتها في </t>
    </r>
    <r>
      <rPr>
        <i val="true"/>
        <sz val="11"/>
        <color rgb="FF5B6273"/>
        <rFont val="Calibri"/>
        <family val="0"/>
        <charset val="1"/>
      </rPr>
      <t xml:space="preserve">Q1 2026</t>
    </r>
  </si>
  <si>
    <t xml:space="preserve">📄 Source: Q1 2026 Financial Statements · Note 36-1 (Currency Risk)</t>
  </si>
  <si>
    <t xml:space="preserve">Closing Rates · EGP per Foreign Unit</t>
  </si>
  <si>
    <t xml:space="preserve">31 Mar 2025</t>
  </si>
  <si>
    <t xml:space="preserve">Q1 26 vs YE25</t>
  </si>
  <si>
    <t xml:space="preserve">Q1 26 vs Q1 25</t>
  </si>
  <si>
    <t xml:space="preserve">US Dollar (USD)</t>
  </si>
  <si>
    <t xml:space="preserve">Euro (EUR)</t>
  </si>
  <si>
    <t xml:space="preserve">British Pound (GBP)</t>
  </si>
  <si>
    <t xml:space="preserve">S. African Rand (ZAR)</t>
  </si>
  <si>
    <t xml:space="preserve">Averaging Rates · Used for P&amp;L Translation</t>
  </si>
  <si>
    <t xml:space="preserve">FY 2025</t>
  </si>
  <si>
    <t xml:space="preserve">⚠️ التغير المهم</t>
  </si>
  <si>
    <r>
      <rPr>
        <sz val="11"/>
        <color rgb="FF1A1D24"/>
        <rFont val="FreeSans"/>
        <family val="2"/>
      </rPr>
      <t xml:space="preserve">إقفال </t>
    </r>
    <r>
      <rPr>
        <sz val="11"/>
        <color rgb="FF1A1D24"/>
        <rFont val="Calibri"/>
        <family val="0"/>
        <charset val="1"/>
      </rPr>
      <t xml:space="preserve">31 </t>
    </r>
    <r>
      <rPr>
        <sz val="11"/>
        <color rgb="FF1A1D24"/>
        <rFont val="FreeSans"/>
        <family val="2"/>
      </rPr>
      <t xml:space="preserve">مارس </t>
    </r>
    <r>
      <rPr>
        <sz val="11"/>
        <color rgb="FF1A1D24"/>
        <rFont val="Calibri"/>
        <family val="0"/>
        <charset val="1"/>
      </rPr>
      <t xml:space="preserve">2026: </t>
    </r>
    <r>
      <rPr>
        <sz val="11"/>
        <color rgb="FF1A1D24"/>
        <rFont val="FreeSans"/>
        <family val="2"/>
      </rPr>
      <t xml:space="preserve">الجنيه ضعف </t>
    </r>
    <r>
      <rPr>
        <sz val="11"/>
        <color rgb="FF1A1D24"/>
        <rFont val="Calibri"/>
        <family val="0"/>
        <charset val="1"/>
      </rPr>
      <t xml:space="preserve">+14.5% </t>
    </r>
    <r>
      <rPr>
        <sz val="11"/>
        <color rgb="FF1A1D24"/>
        <rFont val="FreeSans"/>
        <family val="2"/>
      </rPr>
      <t xml:space="preserve">ضد الدولار و </t>
    </r>
    <r>
      <rPr>
        <sz val="11"/>
        <color rgb="FF1A1D24"/>
        <rFont val="Calibri"/>
        <family val="0"/>
        <charset val="1"/>
      </rPr>
      <t xml:space="preserve">+12.7% </t>
    </r>
    <r>
      <rPr>
        <sz val="11"/>
        <color rgb="FF1A1D24"/>
        <rFont val="FreeSans"/>
        <family val="2"/>
      </rPr>
      <t xml:space="preserve">ضد الإسترليني خلال </t>
    </r>
    <r>
      <rPr>
        <sz val="11"/>
        <color rgb="FF1A1D24"/>
        <rFont val="Calibri"/>
        <family val="0"/>
        <charset val="1"/>
      </rPr>
      <t xml:space="preserve">Q1 2026 </t>
    </r>
    <r>
      <rPr>
        <sz val="11"/>
        <color rgb="FF1A1D24"/>
        <rFont val="FreeSans"/>
        <family val="2"/>
      </rPr>
      <t xml:space="preserve">وحدها</t>
    </r>
    <r>
      <rPr>
        <sz val="11"/>
        <color rgb="FF1A1D24"/>
        <rFont val="Calibri"/>
        <family val="0"/>
        <charset val="1"/>
      </rPr>
      <t xml:space="preserve">. </t>
    </r>
    <r>
      <rPr>
        <sz val="11"/>
        <color rgb="FF1A1D24"/>
        <rFont val="FreeSans"/>
        <family val="2"/>
      </rPr>
      <t xml:space="preserve">ده هيخلق </t>
    </r>
    <r>
      <rPr>
        <sz val="11"/>
        <color rgb="FF1A1D24"/>
        <rFont val="Calibri"/>
        <family val="0"/>
        <charset val="1"/>
      </rPr>
      <t xml:space="preserve">FX gain </t>
    </r>
    <r>
      <rPr>
        <sz val="11"/>
        <color rgb="FF1A1D24"/>
        <rFont val="FreeSans"/>
        <family val="2"/>
      </rPr>
      <t xml:space="preserve">جديد يظهر في </t>
    </r>
    <r>
      <rPr>
        <sz val="11"/>
        <color rgb="FF1A1D24"/>
        <rFont val="Calibri"/>
        <family val="0"/>
        <charset val="1"/>
      </rPr>
      <t xml:space="preserve">Q2 2026 (</t>
    </r>
    <r>
      <rPr>
        <sz val="11"/>
        <color rgb="FF1A1D24"/>
        <rFont val="FreeSans"/>
        <family val="2"/>
      </rPr>
      <t xml:space="preserve">إعادة تقييم المراكز الأجنبية</t>
    </r>
    <r>
      <rPr>
        <sz val="11"/>
        <color rgb="FF1A1D24"/>
        <rFont val="Calibri"/>
        <family val="0"/>
        <charset val="1"/>
      </rPr>
      <t xml:space="preserve">). </t>
    </r>
    <r>
      <rPr>
        <sz val="11"/>
        <color rgb="FF1A1D24"/>
        <rFont val="FreeSans"/>
        <family val="2"/>
      </rPr>
      <t xml:space="preserve">حجم المكسب المتوقع يعتمد على صافي مركز الشركة بالعملات الأجنبية في </t>
    </r>
    <r>
      <rPr>
        <sz val="11"/>
        <color rgb="FF1A1D24"/>
        <rFont val="Calibri"/>
        <family val="0"/>
        <charset val="1"/>
      </rPr>
      <t xml:space="preserve">31 </t>
    </r>
    <r>
      <rPr>
        <sz val="11"/>
        <color rgb="FF1A1D24"/>
        <rFont val="FreeSans"/>
        <family val="2"/>
      </rPr>
      <t xml:space="preserve">مارس</t>
    </r>
    <r>
      <rPr>
        <sz val="11"/>
        <color rgb="FF1A1D24"/>
        <rFont val="Calibri"/>
        <family val="0"/>
        <charset val="1"/>
      </rPr>
      <t xml:space="preserve">.</t>
    </r>
  </si>
  <si>
    <t xml:space="preserve">Lebanon Subsidiary — Q1 2026</t>
  </si>
  <si>
    <r>
      <rPr>
        <i val="true"/>
        <sz val="11"/>
        <color rgb="FF5B6273"/>
        <rFont val="FreeSans"/>
        <family val="2"/>
      </rPr>
      <t xml:space="preserve">بيانات الشركة التابعة في لبنان </t>
    </r>
    <r>
      <rPr>
        <i val="true"/>
        <sz val="11"/>
        <color rgb="FF5B6273"/>
        <rFont val="Calibri"/>
        <family val="0"/>
        <charset val="1"/>
      </rPr>
      <t xml:space="preserve">· </t>
    </r>
    <r>
      <rPr>
        <i val="true"/>
        <sz val="11"/>
        <color rgb="FF5B6273"/>
        <rFont val="FreeSans"/>
        <family val="2"/>
      </rPr>
      <t xml:space="preserve">غير مراجعة</t>
    </r>
  </si>
  <si>
    <t xml:space="preserve">📄 Source: Q1 2026 Financial Statements · Note 3</t>
  </si>
  <si>
    <t xml:space="preserve">Lebanese Ceramics Industries — Standalone</t>
  </si>
  <si>
    <t xml:space="preserve">Sales</t>
  </si>
  <si>
    <t xml:space="preserve">Cost of sales</t>
  </si>
  <si>
    <t xml:space="preserve">Operating Expenses</t>
  </si>
  <si>
    <t xml:space="preserve">Net Profit/(Loss)</t>
  </si>
  <si>
    <r>
      <rPr>
        <sz val="11"/>
        <color rgb="FF1A1D24"/>
        <rFont val="FreeSans"/>
        <family val="2"/>
      </rPr>
      <t xml:space="preserve">لبنان</t>
    </r>
    <r>
      <rPr>
        <sz val="11"/>
        <color rgb="FF1A1D24"/>
        <rFont val="Calibri"/>
        <family val="0"/>
        <charset val="1"/>
      </rPr>
      <t xml:space="preserve">: </t>
    </r>
    <r>
      <rPr>
        <sz val="11"/>
        <color rgb="FF1A1D24"/>
        <rFont val="FreeSans"/>
        <family val="2"/>
      </rPr>
      <t xml:space="preserve">المبيعات نزلت </t>
    </r>
    <r>
      <rPr>
        <sz val="11"/>
        <color rgb="FF1A1D24"/>
        <rFont val="Calibri"/>
        <family val="0"/>
        <charset val="1"/>
      </rPr>
      <t xml:space="preserve">-30% YoY </t>
    </r>
    <r>
      <rPr>
        <sz val="11"/>
        <color rgb="FF1A1D24"/>
        <rFont val="FreeSans"/>
        <family val="2"/>
      </rPr>
      <t xml:space="preserve">والشركة دخلت في خسارة بعد ما كانت بتربح في </t>
    </r>
    <r>
      <rPr>
        <sz val="11"/>
        <color rgb="FF1A1D24"/>
        <rFont val="Calibri"/>
        <family val="0"/>
        <charset val="1"/>
      </rPr>
      <t xml:space="preserve">Q1 2025. </t>
    </r>
    <r>
      <rPr>
        <sz val="11"/>
        <color rgb="FF1A1D24"/>
        <rFont val="FreeSans"/>
        <family val="2"/>
      </rPr>
      <t xml:space="preserve">الشركة التابعة تأكدت إنها </t>
    </r>
    <r>
      <rPr>
        <sz val="11"/>
        <color rgb="FF1A1D24"/>
        <rFont val="Calibri"/>
        <family val="0"/>
        <charset val="1"/>
      </rPr>
      <t xml:space="preserve">'value drag' </t>
    </r>
    <r>
      <rPr>
        <sz val="11"/>
        <color rgb="FF1A1D24"/>
        <rFont val="FreeSans"/>
        <family val="2"/>
      </rPr>
      <t xml:space="preserve">على المجموعة كاملة</t>
    </r>
    <r>
      <rPr>
        <sz val="11"/>
        <color rgb="FF1A1D24"/>
        <rFont val="Calibri"/>
        <family val="0"/>
        <charset val="1"/>
      </rPr>
      <t xml:space="preserve">.</t>
    </r>
  </si>
  <si>
    <r>
      <rPr>
        <b val="true"/>
        <sz val="20"/>
        <color rgb="FF1A1D24"/>
        <rFont val="Calibri"/>
        <family val="0"/>
        <charset val="1"/>
      </rPr>
      <t xml:space="preserve">Forecast Inputs — </t>
    </r>
    <r>
      <rPr>
        <b val="true"/>
        <sz val="20"/>
        <color rgb="FF1A1D24"/>
        <rFont val="FreeSans"/>
        <family val="2"/>
      </rPr>
      <t xml:space="preserve">كل البيانات للتنبؤ بـ </t>
    </r>
    <r>
      <rPr>
        <b val="true"/>
        <sz val="20"/>
        <color rgb="FF1A1D24"/>
        <rFont val="Calibri"/>
        <family val="0"/>
        <charset val="1"/>
      </rPr>
      <t xml:space="preserve">Q2 2026</t>
    </r>
  </si>
  <si>
    <r>
      <rPr>
        <i val="true"/>
        <sz val="11"/>
        <color rgb="FF5B6273"/>
        <rFont val="FreeSans"/>
        <family val="2"/>
      </rPr>
      <t xml:space="preserve">بيانات تاريخية ربعية </t>
    </r>
    <r>
      <rPr>
        <i val="true"/>
        <sz val="11"/>
        <color rgb="FF5B6273"/>
        <rFont val="Calibri"/>
        <family val="0"/>
        <charset val="1"/>
      </rPr>
      <t xml:space="preserve">+ Q1 2026 actual</t>
    </r>
  </si>
  <si>
    <t xml:space="preserve">📄 Source: Lecico Dashboard v3 + Q1 2026 Financial Statements</t>
  </si>
  <si>
    <t xml:space="preserve">Quarterly Revenue · 2021–Q1 2026 (EGP M)</t>
  </si>
  <si>
    <t xml:space="preserve">Year/Quarter</t>
  </si>
  <si>
    <t xml:space="preserve">Q1-21</t>
  </si>
  <si>
    <t xml:space="preserve">Q2-21</t>
  </si>
  <si>
    <t xml:space="preserve">Q3-21</t>
  </si>
  <si>
    <t xml:space="preserve">Q4-21</t>
  </si>
  <si>
    <t xml:space="preserve">Q1-22</t>
  </si>
  <si>
    <t xml:space="preserve">Q2-22</t>
  </si>
  <si>
    <t xml:space="preserve">Q3-22</t>
  </si>
  <si>
    <t xml:space="preserve">Q4-22</t>
  </si>
  <si>
    <t xml:space="preserve">Q1-23</t>
  </si>
  <si>
    <t xml:space="preserve">Q2-23</t>
  </si>
  <si>
    <t xml:space="preserve">Q3-23</t>
  </si>
  <si>
    <t xml:space="preserve">Q4-23</t>
  </si>
  <si>
    <t xml:space="preserve">Q1-24</t>
  </si>
  <si>
    <t xml:space="preserve">Q2-24</t>
  </si>
  <si>
    <t xml:space="preserve">Q3-24</t>
  </si>
  <si>
    <t xml:space="preserve">Q4-24</t>
  </si>
  <si>
    <t xml:space="preserve">Q1-25</t>
  </si>
  <si>
    <t xml:space="preserve">Q2-25</t>
  </si>
  <si>
    <t xml:space="preserve">Q3-25</t>
  </si>
  <si>
    <t xml:space="preserve">Q4-25</t>
  </si>
  <si>
    <t xml:space="preserve">Q1-26</t>
  </si>
  <si>
    <t xml:space="preserve">Net Revenue</t>
  </si>
  <si>
    <t xml:space="preserve">Q2/Q1 Seasonal Ratio (Historical)</t>
  </si>
  <si>
    <t xml:space="preserve">Year</t>
  </si>
  <si>
    <t xml:space="preserve">Q1</t>
  </si>
  <si>
    <t xml:space="preserve">Q2</t>
  </si>
  <si>
    <t xml:space="preserve">Q2/Q1</t>
  </si>
  <si>
    <t xml:space="preserve">Q1 YoY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</si>
  <si>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</si>
  <si>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</si>
  <si>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</si>
  <si>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</si>
  <si>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</si>
  <si>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</si>
  <si>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TBD</t>
  </si>
  <si>
    <t xml:space="preserve">Q2 2026 Forecast Methodology</t>
  </si>
  <si>
    <t xml:space="preserve">Method</t>
  </si>
  <si>
    <t xml:space="preserve">Formula</t>
  </si>
  <si>
    <t xml:space="preserve">Inputs</t>
  </si>
  <si>
    <t xml:space="preserve">Output</t>
  </si>
  <si>
    <t xml:space="preserve">Weight</t>
  </si>
  <si>
    <t xml:space="preserve">1. Seasonal Ratio</t>
  </si>
  <si>
    <t xml:space="preserve">Q1 26 × avg(Q2/Q1)</t>
  </si>
  <si>
    <t xml:space="preserve">1956.8 × 1.045</t>
  </si>
  <si>
    <t xml:space="preserve">2. YoY Growth</t>
  </si>
  <si>
    <t xml:space="preserve">Q2 25 × (1 + Q1 26 YoY)</t>
  </si>
  <si>
    <t xml:space="preserve">1877.5 × 1.157</t>
  </si>
  <si>
    <t xml:space="preserve">Blended Forecast Q2 2026</t>
  </si>
  <si>
    <t xml:space="preserve">Weighted avg</t>
  </si>
  <si>
    <t xml:space="preserve">50% + 50%</t>
  </si>
  <si>
    <r>
      <rPr>
        <sz val="11"/>
        <color rgb="FF1A1D24"/>
        <rFont val="FreeSans"/>
        <family val="2"/>
      </rPr>
      <t xml:space="preserve">هنستخدم </t>
    </r>
    <r>
      <rPr>
        <sz val="11"/>
        <color rgb="FF1A1D24"/>
        <rFont val="Calibri"/>
        <family val="0"/>
        <charset val="1"/>
      </rPr>
      <t xml:space="preserve">2 methods </t>
    </r>
    <r>
      <rPr>
        <sz val="11"/>
        <color rgb="FF1A1D24"/>
        <rFont val="FreeSans"/>
        <family val="2"/>
      </rPr>
      <t xml:space="preserve">وناخد المتوسط</t>
    </r>
    <r>
      <rPr>
        <sz val="11"/>
        <color rgb="FF1A1D24"/>
        <rFont val="Calibri"/>
        <family val="0"/>
        <charset val="1"/>
      </rPr>
      <t xml:space="preserve">: (1) </t>
    </r>
    <r>
      <rPr>
        <sz val="11"/>
        <color rgb="FF1A1D24"/>
        <rFont val="FreeSans"/>
        <family val="2"/>
      </rPr>
      <t xml:space="preserve">الموسمية التاريخية على </t>
    </r>
    <r>
      <rPr>
        <sz val="11"/>
        <color rgb="FF1A1D24"/>
        <rFont val="Calibri"/>
        <family val="0"/>
        <charset val="1"/>
      </rPr>
      <t xml:space="preserve">Q1 2026 </t>
    </r>
    <r>
      <rPr>
        <sz val="11"/>
        <color rgb="FF1A1D24"/>
        <rFont val="FreeSans"/>
        <family val="2"/>
      </rPr>
      <t xml:space="preserve">الفعلي، </t>
    </r>
    <r>
      <rPr>
        <sz val="11"/>
        <color rgb="FF1A1D24"/>
        <rFont val="Calibri"/>
        <family val="0"/>
        <charset val="1"/>
      </rPr>
      <t xml:space="preserve">(2) </t>
    </r>
    <r>
      <rPr>
        <sz val="11"/>
        <color rgb="FF1A1D24"/>
        <rFont val="FreeSans"/>
        <family val="2"/>
      </rPr>
      <t xml:space="preserve">معدل النمو السنوي من </t>
    </r>
    <r>
      <rPr>
        <sz val="11"/>
        <color rgb="FF1A1D24"/>
        <rFont val="Calibri"/>
        <family val="0"/>
        <charset val="1"/>
      </rPr>
      <t xml:space="preserve">Q1 </t>
    </r>
    <r>
      <rPr>
        <sz val="11"/>
        <color rgb="FF1A1D24"/>
        <rFont val="FreeSans"/>
        <family val="2"/>
      </rPr>
      <t xml:space="preserve">على </t>
    </r>
    <r>
      <rPr>
        <sz val="11"/>
        <color rgb="FF1A1D24"/>
        <rFont val="Calibri"/>
        <family val="0"/>
        <charset val="1"/>
      </rPr>
      <t xml:space="preserve">Q2 2025. </t>
    </r>
    <r>
      <rPr>
        <sz val="11"/>
        <color rgb="FF1A1D24"/>
        <rFont val="FreeSans"/>
        <family val="2"/>
      </rPr>
      <t xml:space="preserve">النتيجة المتوقعة</t>
    </r>
    <r>
      <rPr>
        <sz val="11"/>
        <color rgb="FF1A1D24"/>
        <rFont val="Calibri"/>
        <family val="0"/>
        <charset val="1"/>
      </rPr>
      <t xml:space="preserve">: ~2,100M EGP. </t>
    </r>
    <r>
      <rPr>
        <sz val="11"/>
        <color rgb="FF1A1D24"/>
        <rFont val="FreeSans"/>
        <family val="2"/>
      </rPr>
      <t xml:space="preserve">ده ميرفض كـ </t>
    </r>
    <r>
      <rPr>
        <sz val="11"/>
        <color rgb="FF1A1D24"/>
        <rFont val="Calibri"/>
        <family val="0"/>
        <charset val="1"/>
      </rPr>
      <t xml:space="preserve">central case</t>
    </r>
    <r>
      <rPr>
        <sz val="11"/>
        <color rgb="FF1A1D24"/>
        <rFont val="FreeSans"/>
        <family val="2"/>
      </rPr>
      <t xml:space="preserve">، وممكن نعمل </t>
    </r>
    <r>
      <rPr>
        <sz val="11"/>
        <color rgb="FF1A1D24"/>
        <rFont val="Calibri"/>
        <family val="0"/>
        <charset val="1"/>
      </rPr>
      <t xml:space="preserve">scenarios (bull/bear) </t>
    </r>
    <r>
      <rPr>
        <sz val="11"/>
        <color rgb="FF1A1D24"/>
        <rFont val="FreeSans"/>
        <family val="2"/>
      </rPr>
      <t xml:space="preserve">حواليه</t>
    </r>
    <r>
      <rPr>
        <sz val="11"/>
        <color rgb="FF1A1D24"/>
        <rFont val="Calibri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</si>
</sst>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.0;\(#,##0.0\)"/>
    <numFmt numFmtId="166" formatCode="\+#,##0.0;\-#,##0.0"/>
    <numFmt numFmtId="167" formatCode="\+0.0%;\-0.0%"/>
    <numFmt numFmtId="168" formatCode="0.0%;\(0.0%\)"/>
    <numFmt numFmtId="169" formatCode="\+0.0&quot;pp&quot;;\-0.0&quot;pp&quot;;0&quot;pp&quot;"/>
    <numFmt numFmtId="170" formatCode="\+#,##0.00;\-#,##0.00"/>
    <numFmt numFmtId="171" formatCode="#,##0.00;\(#,##0.00\)"/>
    <numFmt numFmtId="172" formatCode="#,##0.0;\(#,##0.0\);\-"/>
    <numFmt numFmtId="173" formatCode="0.0%"/>
    <numFmt numFmtId="174" formatCode="\+0.0&quot;pp&quot;;\-0.0&quot;pp&quot;"/>
    <numFmt numFmtId="175" formatCode="#,##0.00"/>
    <numFmt numFmtId="176" formatCode="#,##0.0"/>
    <numFmt numFmtId="177" formatCode="0.000"/>
    <numFmt numFmtId="178" formatCode="#,##0"/>
    <numFmt numFmtId="179" formatCode="0%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A1D24"/>
      <name val="Calibri"/>
      <family val="0"/>
      <charset val="1"/>
    </font>
    <font>
      <i val="true"/>
      <sz val="12"/>
      <color rgb="FF5B6273"/>
      <name val="FreeSans"/>
      <family val="2"/>
    </font>
    <font>
      <i val="true"/>
      <sz val="12"/>
      <color rgb="FF5B6273"/>
      <name val="Calibri"/>
      <family val="0"/>
      <charset val="1"/>
    </font>
    <font>
      <b val="true"/>
      <sz val="10"/>
      <color rgb="FF5B6273"/>
      <name val="Calibri"/>
      <family val="0"/>
      <charset val="1"/>
    </font>
    <font>
      <sz val="11"/>
      <color rgb="FF1A1D24"/>
      <name val="Calibri"/>
      <family val="0"/>
      <charset val="1"/>
    </font>
    <font>
      <b val="true"/>
      <sz val="13"/>
      <color rgb="FF2E5C8A"/>
      <name val="Calibri"/>
      <family val="0"/>
      <charset val="1"/>
    </font>
    <font>
      <sz val="10"/>
      <color rgb="FF5B6273"/>
      <name val="Calibri"/>
      <family val="0"/>
      <charset val="1"/>
    </font>
    <font>
      <b val="true"/>
      <sz val="12"/>
      <color rgb="FF2E5C8A"/>
      <name val="Calibri"/>
      <family val="0"/>
      <charset val="1"/>
    </font>
    <font>
      <sz val="11"/>
      <color rgb="FF5B6273"/>
      <name val="FreeSans"/>
      <family val="2"/>
    </font>
    <font>
      <sz val="11"/>
      <color rgb="FF5B6273"/>
      <name val="Calibri"/>
      <family val="0"/>
      <charset val="1"/>
    </font>
    <font>
      <b val="true"/>
      <sz val="13"/>
      <color rgb="FF2E5C8A"/>
      <name val="FreeSans"/>
      <family val="2"/>
    </font>
    <font>
      <b val="true"/>
      <sz val="11"/>
      <color rgb="FF2E5C8A"/>
      <name val="Calibri"/>
      <family val="0"/>
      <charset val="1"/>
    </font>
    <font>
      <b val="true"/>
      <sz val="11"/>
      <color rgb="FF1A1D24"/>
      <name val="Calibri"/>
      <family val="0"/>
      <charset val="1"/>
    </font>
    <font>
      <b val="true"/>
      <sz val="11"/>
      <color rgb="FF1A1D24"/>
      <name val="FreeSans"/>
      <family val="2"/>
    </font>
    <font>
      <b val="true"/>
      <sz val="20"/>
      <color rgb="FF1A1D24"/>
      <name val="Calibri"/>
      <family val="0"/>
      <charset val="1"/>
    </font>
    <font>
      <i val="true"/>
      <sz val="11"/>
      <color rgb="FF5B6273"/>
      <name val="FreeSans"/>
      <family val="2"/>
    </font>
    <font>
      <i val="true"/>
      <sz val="11"/>
      <color rgb="FF5B6273"/>
      <name val="Calibri"/>
      <family val="0"/>
      <charset val="1"/>
    </font>
    <font>
      <i val="true"/>
      <sz val="10"/>
      <color rgb="FF5B6273"/>
      <name val="Calibri"/>
      <family val="0"/>
      <charset val="1"/>
    </font>
    <font>
      <b val="true"/>
      <sz val="11"/>
      <color rgb="FF1F7A4D"/>
      <name val="Calibri"/>
      <family val="0"/>
      <charset val="1"/>
    </font>
    <font>
      <sz val="11"/>
      <color rgb="FF0033A0"/>
      <name val="Calibri"/>
      <family val="0"/>
      <charset val="1"/>
    </font>
    <font>
      <b val="true"/>
      <sz val="11"/>
      <color rgb="FFB23A48"/>
      <name val="Calibri"/>
      <family val="0"/>
      <charset val="1"/>
    </font>
    <font>
      <sz val="11"/>
      <color rgb="FF1A1D24"/>
      <name val="FreeSans"/>
      <family val="2"/>
    </font>
    <font>
      <b val="true"/>
      <sz val="12"/>
      <color rgb="FF1A1D24"/>
      <name val="Calibri"/>
      <family val="0"/>
      <charset val="1"/>
    </font>
    <font>
      <sz val="11"/>
      <color rgb="FFB23A48"/>
      <name val="Calibri"/>
      <family val="0"/>
      <charset val="1"/>
    </font>
    <font>
      <sz val="11"/>
      <color rgb="FF1F7A4D"/>
      <name val="Calibri"/>
      <family val="0"/>
      <charset val="1"/>
    </font>
    <font>
      <b val="true"/>
      <sz val="20"/>
      <color rgb="FF1A1D24"/>
      <name val="FreeSans"/>
      <family val="2"/>
    </font>
    <font>
      <b val="true"/>
      <i val="true"/>
      <sz val="11"/>
      <color rgb="FFB23A48"/>
      <name val="Calibri"/>
      <family val="0"/>
      <charset val="1"/>
    </font>
    <font>
      <i val="true"/>
      <sz val="11"/>
      <color rgb="FF1A1D24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4E0"/>
        <bgColor rgb="FFF1F3F7"/>
      </patternFill>
    </fill>
    <fill>
      <patternFill patternType="solid">
        <fgColor rgb="FFF1F3F7"/>
        <bgColor rgb="FFE8EFF7"/>
      </patternFill>
    </fill>
    <fill>
      <patternFill patternType="solid">
        <fgColor rgb="FFE8EFF7"/>
        <bgColor rgb="FFF1F3F7"/>
      </patternFill>
    </fill>
    <fill>
      <patternFill patternType="solid">
        <fgColor rgb="FFF8E4E4"/>
        <bgColor rgb="FFFFF4E0"/>
      </patternFill>
    </fill>
    <fill>
      <patternFill patternType="solid">
        <fgColor rgb="FFE8F0DC"/>
        <bgColor rgb="FFE8EFF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0E6"/>
      </bottom>
      <diagonal/>
    </border>
    <border diagonalUp="false" diagonalDown="false">
      <left/>
      <right/>
      <top style="thin">
        <color rgb="FF1A1D24"/>
      </top>
      <bottom style="thin">
        <color rgb="FF1A1D24"/>
      </bottom>
      <diagonal/>
    </border>
    <border diagonalUp="false" diagonalDown="false">
      <left style="thin">
        <color rgb="FF1A1D24"/>
      </left>
      <right/>
      <top style="thin">
        <color rgb="FF1A1D24"/>
      </top>
      <bottom style="thin">
        <color rgb="FF1A1D2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6" fontId="2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8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9" fontId="2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0" fontId="2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4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2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1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3" shrinkToFit="false"/>
      <protection locked="true" hidden="false"/>
    </xf>
    <xf numFmtId="172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2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3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4" fontId="24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5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76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6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0" fillId="5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16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23" fillId="0" borderId="1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3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79" fontId="16" fillId="4" borderId="2" xfId="0" applyFont="true" applyBorder="true" applyAlignment="true" applyProtection="false">
      <alignment horizontal="righ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1F3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C0C0C0"/>
      <rgbColor rgb="FF808080"/>
      <rgbColor rgb="FF9999FF"/>
      <rgbColor rgb="FFB23A48"/>
      <rgbColor rgb="FFFFF4E0"/>
      <rgbColor rgb="FFE8EFF7"/>
      <rgbColor rgb="FF660066"/>
      <rgbColor rgb="FFFF8080"/>
      <rgbColor rgb="FF0066CC"/>
      <rgbColor rgb="FFDCE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0DC"/>
      <rgbColor rgb="FFFFFF99"/>
      <rgbColor rgb="FF99CCFF"/>
      <rgbColor rgb="FFFF99CC"/>
      <rgbColor rgb="FFCC99FF"/>
      <rgbColor rgb="FFF8E4E4"/>
      <rgbColor rgb="FF3366FF"/>
      <rgbColor rgb="FF33CCCC"/>
      <rgbColor rgb="FF99CC00"/>
      <rgbColor rgb="FFFFCC00"/>
      <rgbColor rgb="FFFF9900"/>
      <rgbColor rgb="FFFF6600"/>
      <rgbColor rgb="FF5B6273"/>
      <rgbColor rgb="FF969696"/>
      <rgbColor rgb="FF0033A0"/>
      <rgbColor rgb="FF339966"/>
      <rgbColor rgb="FF003300"/>
      <rgbColor rgb="FF333300"/>
      <rgbColor rgb="FF993300"/>
      <rgbColor rgb="FF993366"/>
      <rgbColor rgb="FF2E5C8A"/>
      <rgbColor rgb="FF1A1D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36"/>
    <col collapsed="false" customWidth="true" hidden="false" outlineLevel="0" max="4" min="4" style="0" width="75"/>
  </cols>
  <sheetData>
    <row r="2" customFormat="false" ht="31.5" hidden="false" customHeight="true" outlineLevel="0" collapsed="false">
      <c r="B2" s="1" t="s">
        <v>0</v>
      </c>
      <c r="C2" s="1"/>
      <c r="D2" s="1"/>
    </row>
    <row r="3" customFormat="false" ht="21.75" hidden="false" customHeight="true" outlineLevel="0" collapsed="false">
      <c r="B3" s="2" t="s">
        <v>1</v>
      </c>
      <c r="C3" s="2"/>
      <c r="D3" s="2"/>
    </row>
    <row r="4" customFormat="false" ht="12" hidden="false" customHeight="true" outlineLevel="0" collapsed="false"/>
    <row r="5" customFormat="false" ht="24" hidden="false" customHeight="true" outlineLevel="0" collapsed="false">
      <c r="B5" s="3" t="s">
        <v>2</v>
      </c>
      <c r="C5" s="4" t="s">
        <v>3</v>
      </c>
      <c r="D5" s="4"/>
    </row>
    <row r="6" customFormat="false" ht="24" hidden="false" customHeight="true" outlineLevel="0" collapsed="false">
      <c r="B6" s="3" t="s">
        <v>4</v>
      </c>
      <c r="C6" s="4" t="s">
        <v>5</v>
      </c>
      <c r="D6" s="4"/>
    </row>
    <row r="8" customFormat="false" ht="24" hidden="false" customHeight="true" outlineLevel="0" collapsed="false">
      <c r="B8" s="5" t="s">
        <v>6</v>
      </c>
      <c r="C8" s="5"/>
      <c r="D8" s="5"/>
    </row>
    <row r="10" customFormat="false" ht="25.5" hidden="false" customHeight="true" outlineLevel="0" collapsed="false">
      <c r="B10" s="6" t="s">
        <v>7</v>
      </c>
      <c r="C10" s="7" t="s">
        <v>8</v>
      </c>
      <c r="D10" s="8" t="s">
        <v>9</v>
      </c>
    </row>
    <row r="11" customFormat="false" ht="25.5" hidden="false" customHeight="true" outlineLevel="0" collapsed="false">
      <c r="B11" s="6" t="s">
        <v>10</v>
      </c>
      <c r="C11" s="7" t="s">
        <v>11</v>
      </c>
      <c r="D11" s="8" t="s">
        <v>12</v>
      </c>
    </row>
    <row r="12" customFormat="false" ht="25.5" hidden="false" customHeight="true" outlineLevel="0" collapsed="false">
      <c r="B12" s="6" t="s">
        <v>13</v>
      </c>
      <c r="C12" s="7" t="s">
        <v>14</v>
      </c>
      <c r="D12" s="8" t="s">
        <v>15</v>
      </c>
    </row>
    <row r="13" customFormat="false" ht="25.5" hidden="false" customHeight="true" outlineLevel="0" collapsed="false">
      <c r="B13" s="6" t="s">
        <v>16</v>
      </c>
      <c r="C13" s="7" t="s">
        <v>17</v>
      </c>
      <c r="D13" s="8" t="s">
        <v>18</v>
      </c>
    </row>
    <row r="14" customFormat="false" ht="25.5" hidden="false" customHeight="true" outlineLevel="0" collapsed="false">
      <c r="B14" s="6" t="s">
        <v>19</v>
      </c>
      <c r="C14" s="7" t="s">
        <v>20</v>
      </c>
      <c r="D14" s="8" t="s">
        <v>21</v>
      </c>
    </row>
    <row r="15" customFormat="false" ht="25.5" hidden="false" customHeight="true" outlineLevel="0" collapsed="false">
      <c r="B15" s="6" t="s">
        <v>22</v>
      </c>
      <c r="C15" s="7" t="s">
        <v>23</v>
      </c>
      <c r="D15" s="8" t="s">
        <v>24</v>
      </c>
    </row>
    <row r="16" customFormat="false" ht="25.5" hidden="false" customHeight="true" outlineLevel="0" collapsed="false">
      <c r="B16" s="6" t="s">
        <v>25</v>
      </c>
      <c r="C16" s="7" t="s">
        <v>26</v>
      </c>
      <c r="D16" s="8" t="s">
        <v>27</v>
      </c>
    </row>
    <row r="17" customFormat="false" ht="25.5" hidden="false" customHeight="true" outlineLevel="0" collapsed="false">
      <c r="B17" s="6" t="s">
        <v>28</v>
      </c>
      <c r="C17" s="7" t="s">
        <v>29</v>
      </c>
      <c r="D17" s="8" t="s">
        <v>30</v>
      </c>
    </row>
    <row r="18" customFormat="false" ht="25.5" hidden="false" customHeight="true" outlineLevel="0" collapsed="false">
      <c r="B18" s="6" t="s">
        <v>31</v>
      </c>
      <c r="C18" s="7" t="s">
        <v>32</v>
      </c>
      <c r="D18" s="8" t="s">
        <v>33</v>
      </c>
    </row>
    <row r="19" customFormat="false" ht="25.5" hidden="false" customHeight="true" outlineLevel="0" collapsed="false">
      <c r="B19" s="6" t="s">
        <v>34</v>
      </c>
      <c r="C19" s="7" t="s">
        <v>35</v>
      </c>
      <c r="D19" s="8" t="s">
        <v>36</v>
      </c>
    </row>
    <row r="21" customFormat="false" ht="12" hidden="false" customHeight="true" outlineLevel="0" collapsed="false"/>
    <row r="22" customFormat="false" ht="24" hidden="false" customHeight="true" outlineLevel="0" collapsed="false">
      <c r="B22" s="9" t="s">
        <v>37</v>
      </c>
      <c r="C22" s="9"/>
      <c r="D22" s="9"/>
    </row>
    <row r="24" customFormat="false" ht="30" hidden="false" customHeight="true" outlineLevel="0" collapsed="false">
      <c r="B24" s="10" t="s">
        <v>38</v>
      </c>
      <c r="C24" s="11" t="s">
        <v>39</v>
      </c>
      <c r="D24" s="8" t="s">
        <v>40</v>
      </c>
    </row>
    <row r="25" customFormat="false" ht="30" hidden="false" customHeight="true" outlineLevel="0" collapsed="false">
      <c r="B25" s="10" t="s">
        <v>41</v>
      </c>
      <c r="C25" s="11" t="s">
        <v>42</v>
      </c>
      <c r="D25" s="8" t="s">
        <v>43</v>
      </c>
    </row>
    <row r="26" customFormat="false" ht="30" hidden="false" customHeight="true" outlineLevel="0" collapsed="false">
      <c r="B26" s="10" t="s">
        <v>44</v>
      </c>
      <c r="C26" s="11" t="s">
        <v>45</v>
      </c>
      <c r="D26" s="12" t="s">
        <v>46</v>
      </c>
    </row>
    <row r="27" customFormat="false" ht="30" hidden="false" customHeight="true" outlineLevel="0" collapsed="false">
      <c r="B27" s="10" t="s">
        <v>47</v>
      </c>
      <c r="C27" s="13" t="s">
        <v>48</v>
      </c>
      <c r="D27" s="12" t="s">
        <v>49</v>
      </c>
    </row>
    <row r="28" customFormat="false" ht="30" hidden="false" customHeight="true" outlineLevel="0" collapsed="false">
      <c r="B28" s="10" t="s">
        <v>50</v>
      </c>
      <c r="C28" s="13" t="s">
        <v>51</v>
      </c>
      <c r="D28" s="12" t="s">
        <v>52</v>
      </c>
    </row>
    <row r="29" customFormat="false" ht="30" hidden="false" customHeight="true" outlineLevel="0" collapsed="false">
      <c r="B29" s="10" t="s">
        <v>53</v>
      </c>
      <c r="C29" s="13" t="s">
        <v>54</v>
      </c>
      <c r="D29" s="8" t="s">
        <v>55</v>
      </c>
    </row>
  </sheetData>
  <mergeCells count="6">
    <mergeCell ref="B2:D2"/>
    <mergeCell ref="B3:D3"/>
    <mergeCell ref="C5:D5"/>
    <mergeCell ref="C6:D6"/>
    <mergeCell ref="B8:D8"/>
    <mergeCell ref="B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6"/>
    <col collapsed="false" customWidth="true" hidden="false" outlineLevel="0" max="6" min="5" style="0" width="14"/>
  </cols>
  <sheetData>
    <row r="2" customFormat="false" ht="30" hidden="false" customHeight="true" outlineLevel="0" collapsed="false">
      <c r="B2" s="14" t="s">
        <v>56</v>
      </c>
    </row>
    <row r="3" customFormat="false" ht="19.5" hidden="false" customHeight="true" outlineLevel="0" collapsed="false">
      <c r="B3" s="15" t="s">
        <v>57</v>
      </c>
    </row>
    <row r="4" customFormat="false" ht="25.5" hidden="false" customHeight="true" outlineLevel="0" collapsed="false">
      <c r="B4" s="16" t="s">
        <v>58</v>
      </c>
    </row>
    <row r="5" customFormat="false" ht="7.5" hidden="false" customHeight="true" outlineLevel="0" collapsed="false"/>
    <row r="7" customFormat="false" ht="25.5" hidden="false" customHeight="true" outlineLevel="0" collapsed="false">
      <c r="B7" s="17" t="s">
        <v>59</v>
      </c>
      <c r="C7" s="18" t="s">
        <v>60</v>
      </c>
      <c r="D7" s="18" t="s">
        <v>61</v>
      </c>
      <c r="E7" s="18" t="s">
        <v>62</v>
      </c>
      <c r="F7" s="18" t="s">
        <v>63</v>
      </c>
    </row>
    <row r="8" customFormat="false" ht="21.75" hidden="false" customHeight="true" outlineLevel="0" collapsed="false">
      <c r="B8" s="19" t="s">
        <v>64</v>
      </c>
      <c r="C8" s="20" t="n">
        <v>1956.8</v>
      </c>
      <c r="D8" s="20" t="n">
        <v>1690.6</v>
      </c>
      <c r="E8" s="21" t="n">
        <v>266.2</v>
      </c>
      <c r="F8" s="22" t="n">
        <v>0.157458890334792</v>
      </c>
    </row>
    <row r="9" customFormat="false" ht="21.75" hidden="false" customHeight="true" outlineLevel="0" collapsed="false">
      <c r="B9" s="23" t="s">
        <v>65</v>
      </c>
      <c r="C9" s="24" t="n">
        <v>-1561.4</v>
      </c>
      <c r="D9" s="24" t="n">
        <v>-1250.1</v>
      </c>
      <c r="E9" s="25" t="n">
        <v>-311.3</v>
      </c>
      <c r="F9" s="26" t="n">
        <v>-0.249020078393729</v>
      </c>
    </row>
    <row r="10" customFormat="false" ht="21.75" hidden="false" customHeight="true" outlineLevel="0" collapsed="false">
      <c r="B10" s="19" t="s">
        <v>66</v>
      </c>
      <c r="C10" s="20" t="n">
        <v>395.4</v>
      </c>
      <c r="D10" s="20" t="n">
        <v>440.4</v>
      </c>
      <c r="E10" s="25" t="n">
        <v>-45</v>
      </c>
      <c r="F10" s="26" t="n">
        <v>-0.102179836512262</v>
      </c>
    </row>
    <row r="11" customFormat="false" ht="21.75" hidden="false" customHeight="true" outlineLevel="0" collapsed="false">
      <c r="B11" s="23" t="s">
        <v>67</v>
      </c>
      <c r="C11" s="27" t="n">
        <v>0.202</v>
      </c>
      <c r="D11" s="27" t="n">
        <v>0.261</v>
      </c>
      <c r="E11" s="28" t="n">
        <v>-0.059</v>
      </c>
      <c r="F11" s="29" t="s">
        <v>68</v>
      </c>
    </row>
    <row r="12" customFormat="false" ht="21.75" hidden="false" customHeight="true" outlineLevel="0" collapsed="false">
      <c r="B12" s="23" t="s">
        <v>69</v>
      </c>
      <c r="C12" s="24" t="n">
        <v>-246.6</v>
      </c>
      <c r="D12" s="24" t="n">
        <v>-222.7</v>
      </c>
      <c r="E12" s="25" t="n">
        <v>-23.9</v>
      </c>
      <c r="F12" s="26" t="n">
        <v>-0.107319263583296</v>
      </c>
    </row>
    <row r="13" customFormat="false" ht="21.75" hidden="false" customHeight="true" outlineLevel="0" collapsed="false">
      <c r="B13" s="19" t="s">
        <v>70</v>
      </c>
      <c r="C13" s="20" t="n">
        <v>148.9</v>
      </c>
      <c r="D13" s="20" t="n">
        <v>217.7</v>
      </c>
      <c r="E13" s="25" t="n">
        <v>-68.8</v>
      </c>
      <c r="F13" s="26" t="n">
        <v>-0.316031235645384</v>
      </c>
    </row>
    <row r="14" customFormat="false" ht="21.75" hidden="false" customHeight="true" outlineLevel="0" collapsed="false">
      <c r="B14" s="23" t="s">
        <v>71</v>
      </c>
      <c r="C14" s="27" t="n">
        <v>0.076</v>
      </c>
      <c r="D14" s="27" t="n">
        <v>0.129</v>
      </c>
      <c r="E14" s="28" t="n">
        <v>-0.053</v>
      </c>
      <c r="F14" s="29" t="s">
        <v>68</v>
      </c>
    </row>
    <row r="15" customFormat="false" ht="21.75" hidden="false" customHeight="true" outlineLevel="0" collapsed="false">
      <c r="B15" s="23" t="s">
        <v>72</v>
      </c>
      <c r="C15" s="24" t="n">
        <v>-35.3</v>
      </c>
      <c r="D15" s="24" t="n">
        <v>-70.1</v>
      </c>
      <c r="E15" s="21" t="n">
        <v>34.8</v>
      </c>
      <c r="F15" s="22" t="n">
        <v>0.496433666191156</v>
      </c>
    </row>
    <row r="16" customFormat="false" ht="21.75" hidden="false" customHeight="true" outlineLevel="0" collapsed="false">
      <c r="B16" s="23" t="s">
        <v>73</v>
      </c>
      <c r="C16" s="24" t="n">
        <v>113.5</v>
      </c>
      <c r="D16" s="24" t="n">
        <v>147.7</v>
      </c>
      <c r="E16" s="25" t="n">
        <v>-34.2</v>
      </c>
      <c r="F16" s="26" t="n">
        <v>-0.231550440081246</v>
      </c>
    </row>
    <row r="17" customFormat="false" ht="21.75" hidden="false" customHeight="true" outlineLevel="0" collapsed="false">
      <c r="B17" s="23" t="s">
        <v>74</v>
      </c>
      <c r="C17" s="24" t="n">
        <v>-66.2</v>
      </c>
      <c r="D17" s="24" t="n">
        <v>-54.8</v>
      </c>
      <c r="E17" s="25" t="n">
        <v>-11.4</v>
      </c>
      <c r="F17" s="26" t="n">
        <v>-0.208029197080292</v>
      </c>
    </row>
    <row r="18" customFormat="false" ht="21.75" hidden="false" customHeight="true" outlineLevel="0" collapsed="false">
      <c r="B18" s="19" t="s">
        <v>75</v>
      </c>
      <c r="C18" s="20" t="n">
        <v>47.4</v>
      </c>
      <c r="D18" s="20" t="n">
        <v>92.9</v>
      </c>
      <c r="E18" s="25" t="n">
        <v>-45.5</v>
      </c>
      <c r="F18" s="26" t="n">
        <v>-0.489773950484392</v>
      </c>
    </row>
    <row r="19" customFormat="false" ht="21.75" hidden="false" customHeight="true" outlineLevel="0" collapsed="false">
      <c r="B19" s="23" t="s">
        <v>76</v>
      </c>
      <c r="C19" s="27" t="n">
        <v>0.024</v>
      </c>
      <c r="D19" s="27" t="n">
        <v>0.055</v>
      </c>
      <c r="E19" s="28" t="n">
        <v>-0.031</v>
      </c>
      <c r="F19" s="29" t="s">
        <v>68</v>
      </c>
    </row>
    <row r="20" customFormat="false" ht="21.75" hidden="false" customHeight="true" outlineLevel="0" collapsed="false">
      <c r="B20" s="23" t="s">
        <v>77</v>
      </c>
      <c r="C20" s="24" t="n">
        <v>42.4</v>
      </c>
      <c r="D20" s="24" t="n">
        <v>92.4</v>
      </c>
      <c r="E20" s="25" t="n">
        <v>-50</v>
      </c>
      <c r="F20" s="26" t="n">
        <v>-0.541125541125541</v>
      </c>
    </row>
    <row r="21" customFormat="false" ht="21.75" hidden="false" customHeight="true" outlineLevel="0" collapsed="false">
      <c r="B21" s="23" t="s">
        <v>78</v>
      </c>
      <c r="C21" s="24" t="n">
        <v>0.53</v>
      </c>
      <c r="D21" s="24" t="n">
        <v>1.16</v>
      </c>
      <c r="E21" s="30" t="n">
        <v>-0.63</v>
      </c>
      <c r="F21" s="26" t="n">
        <v>-0.543103448275862</v>
      </c>
    </row>
    <row r="23" customFormat="false" ht="12" hidden="false" customHeight="true" outlineLevel="0" collapsed="false"/>
    <row r="24" customFormat="false" ht="24" hidden="false" customHeight="true" outlineLevel="0" collapsed="false">
      <c r="B24" s="31" t="s">
        <v>79</v>
      </c>
      <c r="C24" s="31"/>
      <c r="D24" s="31"/>
      <c r="E24" s="31"/>
      <c r="F24" s="31"/>
    </row>
    <row r="25" customFormat="false" ht="54.75" hidden="false" customHeight="true" outlineLevel="0" collapsed="false">
      <c r="B25" s="32" t="s">
        <v>80</v>
      </c>
      <c r="C25" s="32"/>
      <c r="D25" s="32"/>
      <c r="E25" s="32"/>
      <c r="F25" s="32"/>
    </row>
  </sheetData>
  <mergeCells count="2">
    <mergeCell ref="B24:F24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4" min="3" style="0" width="16"/>
    <col collapsed="false" customWidth="true" hidden="false" outlineLevel="0" max="5" min="5" style="0" width="14"/>
  </cols>
  <sheetData>
    <row r="2" customFormat="false" ht="30" hidden="false" customHeight="true" outlineLevel="0" collapsed="false">
      <c r="B2" s="14" t="s">
        <v>81</v>
      </c>
    </row>
    <row r="3" customFormat="false" ht="19.5" hidden="false" customHeight="true" outlineLevel="0" collapsed="false">
      <c r="B3" s="15" t="s">
        <v>82</v>
      </c>
    </row>
    <row r="4" customFormat="false" ht="25.5" hidden="false" customHeight="true" outlineLevel="0" collapsed="false">
      <c r="B4" s="16" t="s">
        <v>83</v>
      </c>
    </row>
    <row r="5" customFormat="false" ht="7.5" hidden="false" customHeight="true" outlineLevel="0" collapsed="false"/>
    <row r="7" customFormat="false" ht="25.5" hidden="false" customHeight="true" outlineLevel="0" collapsed="false">
      <c r="B7" s="17" t="s">
        <v>84</v>
      </c>
      <c r="C7" s="18" t="s">
        <v>60</v>
      </c>
      <c r="D7" s="18" t="s">
        <v>61</v>
      </c>
      <c r="E7" s="18" t="s">
        <v>85</v>
      </c>
    </row>
    <row r="8" customFormat="false" ht="24" hidden="false" customHeight="true" outlineLevel="0" collapsed="false">
      <c r="B8" s="33" t="s">
        <v>86</v>
      </c>
      <c r="C8" s="34"/>
      <c r="D8" s="34"/>
      <c r="E8" s="34"/>
    </row>
    <row r="9" customFormat="false" ht="21.75" hidden="false" customHeight="true" outlineLevel="0" collapsed="false">
      <c r="B9" s="19" t="s">
        <v>87</v>
      </c>
      <c r="C9" s="20" t="n">
        <v>1956.8</v>
      </c>
      <c r="D9" s="20" t="n">
        <v>1690.6</v>
      </c>
      <c r="E9" s="35" t="n">
        <v>0.157458890334792</v>
      </c>
    </row>
    <row r="10" customFormat="false" ht="24" hidden="false" customHeight="true" outlineLevel="0" collapsed="false">
      <c r="B10" s="33" t="s">
        <v>88</v>
      </c>
      <c r="C10" s="34"/>
      <c r="D10" s="34"/>
      <c r="E10" s="34"/>
    </row>
    <row r="11" customFormat="false" ht="21.75" hidden="false" customHeight="true" outlineLevel="0" collapsed="false">
      <c r="B11" s="36" t="s">
        <v>65</v>
      </c>
      <c r="C11" s="24" t="n">
        <v>-1561.4</v>
      </c>
      <c r="D11" s="24" t="n">
        <v>-1250.1</v>
      </c>
      <c r="E11" s="37" t="n">
        <v>-0.249020078393729</v>
      </c>
    </row>
    <row r="12" customFormat="false" ht="21.75" hidden="false" customHeight="true" outlineLevel="0" collapsed="false">
      <c r="B12" s="19" t="s">
        <v>66</v>
      </c>
      <c r="C12" s="20" t="n">
        <v>395.4</v>
      </c>
      <c r="D12" s="20" t="n">
        <v>440.4</v>
      </c>
      <c r="E12" s="38" t="n">
        <v>-0.102179836512262</v>
      </c>
    </row>
    <row r="13" customFormat="false" ht="21.75" hidden="false" customHeight="true" outlineLevel="0" collapsed="false">
      <c r="B13" s="36" t="s">
        <v>89</v>
      </c>
      <c r="C13" s="24" t="n">
        <v>11.7</v>
      </c>
      <c r="D13" s="24" t="n">
        <v>9</v>
      </c>
      <c r="E13" s="39" t="n">
        <v>0.3</v>
      </c>
    </row>
    <row r="14" customFormat="false" ht="21.75" hidden="false" customHeight="true" outlineLevel="0" collapsed="false">
      <c r="B14" s="36" t="s">
        <v>90</v>
      </c>
      <c r="C14" s="24" t="n">
        <v>-63.6</v>
      </c>
      <c r="D14" s="24" t="n">
        <v>-60.7</v>
      </c>
      <c r="E14" s="37" t="n">
        <v>-0.0477759472817133</v>
      </c>
    </row>
    <row r="15" customFormat="false" ht="21.75" hidden="false" customHeight="true" outlineLevel="0" collapsed="false">
      <c r="B15" s="36" t="s">
        <v>91</v>
      </c>
      <c r="C15" s="24" t="n">
        <v>-152.3</v>
      </c>
      <c r="D15" s="24" t="n">
        <v>-132.8</v>
      </c>
      <c r="E15" s="37" t="n">
        <v>-0.14683734939759</v>
      </c>
    </row>
    <row r="16" customFormat="false" ht="21.75" hidden="false" customHeight="true" outlineLevel="0" collapsed="false">
      <c r="B16" s="36" t="s">
        <v>92</v>
      </c>
      <c r="C16" s="24" t="n">
        <v>-10.9</v>
      </c>
      <c r="D16" s="24" t="n">
        <v>-8.7</v>
      </c>
      <c r="E16" s="37" t="n">
        <v>-0.252873563218391</v>
      </c>
    </row>
    <row r="17" customFormat="false" ht="21.75" hidden="false" customHeight="true" outlineLevel="0" collapsed="false">
      <c r="B17" s="36" t="s">
        <v>93</v>
      </c>
      <c r="C17" s="24" t="n">
        <v>-31.5</v>
      </c>
      <c r="D17" s="24" t="n">
        <v>-29.5</v>
      </c>
      <c r="E17" s="37" t="n">
        <v>-0.0677966101694915</v>
      </c>
    </row>
    <row r="18" customFormat="false" ht="21.75" hidden="false" customHeight="true" outlineLevel="0" collapsed="false">
      <c r="B18" s="19" t="s">
        <v>94</v>
      </c>
      <c r="C18" s="20" t="n">
        <v>148.9</v>
      </c>
      <c r="D18" s="20" t="n">
        <v>217.7</v>
      </c>
      <c r="E18" s="38" t="n">
        <v>-0.316031235645384</v>
      </c>
    </row>
    <row r="19" customFormat="false" ht="24" hidden="false" customHeight="true" outlineLevel="0" collapsed="false">
      <c r="B19" s="33" t="s">
        <v>95</v>
      </c>
      <c r="C19" s="34"/>
      <c r="D19" s="34"/>
      <c r="E19" s="34"/>
    </row>
    <row r="20" customFormat="false" ht="21.75" hidden="false" customHeight="true" outlineLevel="0" collapsed="false">
      <c r="B20" s="36" t="s">
        <v>96</v>
      </c>
      <c r="C20" s="24" t="n">
        <v>0</v>
      </c>
      <c r="D20" s="24" t="n">
        <v>0</v>
      </c>
    </row>
    <row r="21" customFormat="false" ht="21.75" hidden="false" customHeight="true" outlineLevel="0" collapsed="false">
      <c r="B21" s="36" t="s">
        <v>97</v>
      </c>
      <c r="C21" s="24" t="n">
        <v>-35.3</v>
      </c>
      <c r="D21" s="24" t="n">
        <v>-70.1</v>
      </c>
      <c r="E21" s="39" t="n">
        <v>0.496433666191156</v>
      </c>
    </row>
    <row r="22" customFormat="false" ht="21.75" hidden="false" customHeight="true" outlineLevel="0" collapsed="false">
      <c r="B22" s="19" t="s">
        <v>73</v>
      </c>
      <c r="C22" s="20" t="n">
        <v>113.5</v>
      </c>
      <c r="D22" s="20" t="n">
        <v>147.7</v>
      </c>
      <c r="E22" s="38" t="n">
        <v>-0.231550440081246</v>
      </c>
    </row>
    <row r="23" customFormat="false" ht="21.75" hidden="false" customHeight="true" outlineLevel="0" collapsed="false">
      <c r="B23" s="36" t="s">
        <v>98</v>
      </c>
      <c r="C23" s="24" t="n">
        <v>-66.2</v>
      </c>
      <c r="D23" s="24" t="n">
        <v>-54.8</v>
      </c>
      <c r="E23" s="37" t="n">
        <v>-0.208029197080292</v>
      </c>
    </row>
    <row r="24" customFormat="false" ht="21.75" hidden="false" customHeight="true" outlineLevel="0" collapsed="false">
      <c r="B24" s="19" t="s">
        <v>99</v>
      </c>
      <c r="C24" s="20" t="n">
        <v>47.4</v>
      </c>
      <c r="D24" s="20" t="n">
        <v>92.9</v>
      </c>
      <c r="E24" s="38" t="n">
        <v>-0.489773950484392</v>
      </c>
    </row>
    <row r="25" customFormat="false" ht="24" hidden="false" customHeight="true" outlineLevel="0" collapsed="false">
      <c r="B25" s="33" t="s">
        <v>100</v>
      </c>
      <c r="C25" s="34"/>
      <c r="D25" s="34"/>
      <c r="E25" s="34"/>
    </row>
    <row r="26" customFormat="false" ht="21.75" hidden="false" customHeight="true" outlineLevel="0" collapsed="false">
      <c r="B26" s="36" t="s">
        <v>101</v>
      </c>
      <c r="C26" s="24" t="n">
        <v>42.4</v>
      </c>
      <c r="D26" s="24" t="n">
        <v>92.4</v>
      </c>
      <c r="E26" s="37" t="n">
        <v>-0.541125541125541</v>
      </c>
    </row>
    <row r="27" customFormat="false" ht="21.75" hidden="false" customHeight="true" outlineLevel="0" collapsed="false">
      <c r="B27" s="36" t="s">
        <v>102</v>
      </c>
      <c r="C27" s="24" t="n">
        <v>5</v>
      </c>
      <c r="D27" s="24" t="n">
        <v>0.4</v>
      </c>
      <c r="E27" s="39" t="n">
        <v>11.5</v>
      </c>
    </row>
    <row r="28" customFormat="false" ht="21.75" hidden="false" customHeight="true" outlineLevel="0" collapsed="false">
      <c r="B28" s="36" t="s">
        <v>103</v>
      </c>
      <c r="C28" s="40" t="n">
        <v>0.53</v>
      </c>
      <c r="D28" s="40" t="n">
        <v>1.16</v>
      </c>
      <c r="E28" s="37" t="n">
        <v>-0.543103448275862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4" min="3" style="0" width="16"/>
    <col collapsed="false" customWidth="true" hidden="false" outlineLevel="0" max="5" min="5" style="0" width="14"/>
  </cols>
  <sheetData>
    <row r="2" customFormat="false" ht="30" hidden="false" customHeight="true" outlineLevel="0" collapsed="false">
      <c r="B2" s="14" t="s">
        <v>104</v>
      </c>
    </row>
    <row r="3" customFormat="false" ht="19.5" hidden="false" customHeight="true" outlineLevel="0" collapsed="false">
      <c r="B3" s="15" t="s">
        <v>105</v>
      </c>
    </row>
    <row r="4" customFormat="false" ht="25.5" hidden="false" customHeight="true" outlineLevel="0" collapsed="false">
      <c r="B4" s="16" t="s">
        <v>106</v>
      </c>
    </row>
    <row r="5" customFormat="false" ht="7.5" hidden="false" customHeight="true" outlineLevel="0" collapsed="false"/>
    <row r="7" customFormat="false" ht="25.5" hidden="false" customHeight="true" outlineLevel="0" collapsed="false">
      <c r="B7" s="17" t="s">
        <v>84</v>
      </c>
      <c r="C7" s="18" t="s">
        <v>107</v>
      </c>
      <c r="D7" s="18" t="s">
        <v>108</v>
      </c>
      <c r="E7" s="18" t="s">
        <v>109</v>
      </c>
    </row>
    <row r="8" customFormat="false" ht="24" hidden="false" customHeight="true" outlineLevel="0" collapsed="false">
      <c r="B8" s="33" t="s">
        <v>110</v>
      </c>
      <c r="C8" s="34"/>
      <c r="D8" s="34"/>
      <c r="E8" s="34"/>
    </row>
    <row r="9" customFormat="false" ht="21.75" hidden="false" customHeight="true" outlineLevel="0" collapsed="false">
      <c r="B9" s="41" t="s">
        <v>111</v>
      </c>
      <c r="C9" s="42"/>
      <c r="D9" s="42"/>
      <c r="E9" s="42"/>
    </row>
    <row r="10" customFormat="false" ht="21.75" hidden="false" customHeight="true" outlineLevel="0" collapsed="false">
      <c r="B10" s="43" t="s">
        <v>112</v>
      </c>
      <c r="C10" s="44" t="n">
        <v>3592.9</v>
      </c>
      <c r="D10" s="44" t="n">
        <v>3586</v>
      </c>
      <c r="E10" s="39" t="n">
        <v>0.00192414947016177</v>
      </c>
    </row>
    <row r="11" customFormat="false" ht="21.75" hidden="false" customHeight="true" outlineLevel="0" collapsed="false">
      <c r="B11" s="43" t="s">
        <v>113</v>
      </c>
      <c r="C11" s="44" t="n">
        <v>91.9</v>
      </c>
      <c r="D11" s="44" t="n">
        <v>72.2</v>
      </c>
      <c r="E11" s="39" t="n">
        <v>0.272853185595568</v>
      </c>
    </row>
    <row r="12" customFormat="false" ht="21.75" hidden="false" customHeight="true" outlineLevel="0" collapsed="false">
      <c r="B12" s="43" t="s">
        <v>114</v>
      </c>
      <c r="C12" s="44" t="n">
        <v>27</v>
      </c>
      <c r="D12" s="44" t="n">
        <v>25.1</v>
      </c>
      <c r="E12" s="39" t="n">
        <v>0.0756972111553784</v>
      </c>
    </row>
    <row r="13" customFormat="false" ht="21.75" hidden="false" customHeight="true" outlineLevel="0" collapsed="false">
      <c r="B13" s="43" t="s">
        <v>115</v>
      </c>
      <c r="C13" s="44" t="n">
        <v>0.1</v>
      </c>
      <c r="D13" s="44" t="n">
        <v>0.1</v>
      </c>
      <c r="E13" s="39" t="n">
        <v>0</v>
      </c>
    </row>
    <row r="14" customFormat="false" ht="21.75" hidden="false" customHeight="true" outlineLevel="0" collapsed="false">
      <c r="B14" s="19" t="s">
        <v>116</v>
      </c>
      <c r="C14" s="45" t="n">
        <v>3711.8</v>
      </c>
      <c r="D14" s="45" t="n">
        <v>3683.5</v>
      </c>
      <c r="E14" s="35" t="n">
        <v>0.00768291027555319</v>
      </c>
    </row>
    <row r="15" customFormat="false" ht="21.75" hidden="false" customHeight="true" outlineLevel="0" collapsed="false">
      <c r="B15" s="41" t="s">
        <v>117</v>
      </c>
      <c r="C15" s="42"/>
      <c r="D15" s="42"/>
      <c r="E15" s="42"/>
    </row>
    <row r="16" customFormat="false" ht="21.75" hidden="false" customHeight="true" outlineLevel="0" collapsed="false">
      <c r="B16" s="43" t="s">
        <v>118</v>
      </c>
      <c r="C16" s="44" t="n">
        <v>3171.3</v>
      </c>
      <c r="D16" s="44" t="n">
        <v>2880.3</v>
      </c>
      <c r="E16" s="39" t="n">
        <v>0.101031142589314</v>
      </c>
    </row>
    <row r="17" customFormat="false" ht="21.75" hidden="false" customHeight="true" outlineLevel="0" collapsed="false">
      <c r="B17" s="43" t="s">
        <v>119</v>
      </c>
      <c r="C17" s="44" t="n">
        <v>1875.5</v>
      </c>
      <c r="D17" s="44" t="n">
        <v>1659.3</v>
      </c>
      <c r="E17" s="39" t="n">
        <v>0.130295907912975</v>
      </c>
    </row>
    <row r="18" customFormat="false" ht="21.75" hidden="false" customHeight="true" outlineLevel="0" collapsed="false">
      <c r="B18" s="43" t="s">
        <v>120</v>
      </c>
      <c r="C18" s="44" t="n">
        <v>10.2</v>
      </c>
      <c r="D18" s="44" t="n">
        <v>0</v>
      </c>
    </row>
    <row r="19" customFormat="false" ht="21.75" hidden="false" customHeight="true" outlineLevel="0" collapsed="false">
      <c r="B19" s="43" t="s">
        <v>121</v>
      </c>
      <c r="C19" s="44" t="n">
        <v>511.6</v>
      </c>
      <c r="D19" s="44" t="n">
        <v>314</v>
      </c>
      <c r="E19" s="39" t="n">
        <v>0.629299363057325</v>
      </c>
    </row>
    <row r="20" customFormat="false" ht="21.75" hidden="false" customHeight="true" outlineLevel="0" collapsed="false">
      <c r="B20" s="19" t="s">
        <v>122</v>
      </c>
      <c r="C20" s="45" t="n">
        <v>5568.5</v>
      </c>
      <c r="D20" s="45" t="n">
        <v>4853.6</v>
      </c>
      <c r="E20" s="35" t="n">
        <v>0.147292731168617</v>
      </c>
    </row>
    <row r="21" customFormat="false" ht="21.75" hidden="false" customHeight="true" outlineLevel="0" collapsed="false">
      <c r="B21" s="19" t="s">
        <v>123</v>
      </c>
      <c r="C21" s="45" t="n">
        <v>9280.4</v>
      </c>
      <c r="D21" s="45" t="n">
        <v>8537</v>
      </c>
      <c r="E21" s="35" t="n">
        <v>0.0870797704111514</v>
      </c>
    </row>
    <row r="22" customFormat="false" ht="24" hidden="false" customHeight="true" outlineLevel="0" collapsed="false">
      <c r="B22" s="33" t="s">
        <v>124</v>
      </c>
      <c r="C22" s="34"/>
      <c r="D22" s="34"/>
      <c r="E22" s="34"/>
    </row>
    <row r="23" customFormat="false" ht="21.75" hidden="false" customHeight="true" outlineLevel="0" collapsed="false">
      <c r="B23" s="41" t="s">
        <v>125</v>
      </c>
      <c r="C23" s="42"/>
      <c r="D23" s="42"/>
      <c r="E23" s="42"/>
    </row>
    <row r="24" customFormat="false" ht="21.75" hidden="false" customHeight="true" outlineLevel="0" collapsed="false">
      <c r="B24" s="43" t="s">
        <v>126</v>
      </c>
      <c r="C24" s="44" t="n">
        <v>200</v>
      </c>
      <c r="D24" s="44" t="n">
        <v>400</v>
      </c>
      <c r="E24" s="37" t="n">
        <v>-0.5</v>
      </c>
    </row>
    <row r="25" customFormat="false" ht="21.75" hidden="false" customHeight="true" outlineLevel="0" collapsed="false">
      <c r="B25" s="43" t="s">
        <v>127</v>
      </c>
      <c r="C25" s="44" t="n">
        <v>2646</v>
      </c>
      <c r="D25" s="44" t="n">
        <v>2414.8</v>
      </c>
      <c r="E25" s="39" t="n">
        <v>0.0957429186682126</v>
      </c>
    </row>
    <row r="26" customFormat="false" ht="21.75" hidden="false" customHeight="true" outlineLevel="0" collapsed="false">
      <c r="B26" s="43" t="s">
        <v>128</v>
      </c>
      <c r="C26" s="44" t="n">
        <v>1197.8</v>
      </c>
      <c r="D26" s="44" t="n">
        <v>1163</v>
      </c>
      <c r="E26" s="39" t="n">
        <v>0.0299226139294927</v>
      </c>
    </row>
    <row r="27" customFormat="false" ht="21.75" hidden="false" customHeight="true" outlineLevel="0" collapsed="false">
      <c r="B27" s="43" t="s">
        <v>129</v>
      </c>
      <c r="C27" s="44" t="n">
        <v>4043.8</v>
      </c>
      <c r="D27" s="44" t="n">
        <v>3977.8</v>
      </c>
      <c r="E27" s="39" t="n">
        <v>0.0165920860777314</v>
      </c>
    </row>
    <row r="28" customFormat="false" ht="21.75" hidden="false" customHeight="true" outlineLevel="0" collapsed="false">
      <c r="B28" s="43" t="s">
        <v>130</v>
      </c>
      <c r="C28" s="44" t="n">
        <v>139.5</v>
      </c>
      <c r="D28" s="44" t="n">
        <v>128</v>
      </c>
      <c r="E28" s="39" t="n">
        <v>0.08984375</v>
      </c>
    </row>
    <row r="29" customFormat="false" ht="21.75" hidden="false" customHeight="true" outlineLevel="0" collapsed="false">
      <c r="B29" s="19" t="s">
        <v>131</v>
      </c>
      <c r="C29" s="45" t="n">
        <v>4183.3</v>
      </c>
      <c r="D29" s="45" t="n">
        <v>4105.8</v>
      </c>
      <c r="E29" s="35" t="n">
        <v>0.0188757367626285</v>
      </c>
    </row>
    <row r="30" customFormat="false" ht="21.75" hidden="false" customHeight="true" outlineLevel="0" collapsed="false">
      <c r="B30" s="41" t="s">
        <v>132</v>
      </c>
      <c r="C30" s="42"/>
      <c r="D30" s="42"/>
      <c r="E30" s="42"/>
    </row>
    <row r="31" customFormat="false" ht="21.75" hidden="false" customHeight="true" outlineLevel="0" collapsed="false">
      <c r="B31" s="43" t="s">
        <v>133</v>
      </c>
      <c r="C31" s="44" t="n">
        <v>112.3</v>
      </c>
      <c r="D31" s="44" t="n">
        <v>111.4</v>
      </c>
      <c r="E31" s="39" t="n">
        <v>0.00807899461400351</v>
      </c>
    </row>
    <row r="32" customFormat="false" ht="21.75" hidden="false" customHeight="true" outlineLevel="0" collapsed="false">
      <c r="B32" s="43" t="s">
        <v>134</v>
      </c>
      <c r="C32" s="44" t="n">
        <v>207.1</v>
      </c>
      <c r="D32" s="44" t="n">
        <v>236.9</v>
      </c>
      <c r="E32" s="37" t="n">
        <v>-0.125791473195441</v>
      </c>
    </row>
    <row r="33" customFormat="false" ht="21.75" hidden="false" customHeight="true" outlineLevel="0" collapsed="false">
      <c r="B33" s="43" t="s">
        <v>135</v>
      </c>
      <c r="C33" s="44" t="n">
        <v>544.6</v>
      </c>
      <c r="D33" s="44" t="n">
        <v>526.9</v>
      </c>
      <c r="E33" s="39" t="n">
        <v>0.0335927120895807</v>
      </c>
    </row>
    <row r="34" customFormat="false" ht="21.75" hidden="false" customHeight="true" outlineLevel="0" collapsed="false">
      <c r="B34" s="19" t="s">
        <v>136</v>
      </c>
      <c r="C34" s="45" t="n">
        <v>864</v>
      </c>
      <c r="D34" s="45" t="n">
        <v>875.2</v>
      </c>
      <c r="E34" s="38" t="n">
        <v>-0.0127970749542962</v>
      </c>
    </row>
    <row r="35" customFormat="false" ht="21.75" hidden="false" customHeight="true" outlineLevel="0" collapsed="false">
      <c r="B35" s="41" t="s">
        <v>137</v>
      </c>
      <c r="C35" s="42"/>
      <c r="D35" s="42"/>
      <c r="E35" s="42"/>
    </row>
    <row r="36" customFormat="false" ht="21.75" hidden="false" customHeight="true" outlineLevel="0" collapsed="false">
      <c r="B36" s="43" t="s">
        <v>138</v>
      </c>
      <c r="C36" s="44" t="n">
        <v>2145.4</v>
      </c>
      <c r="D36" s="44" t="n">
        <v>1587.5</v>
      </c>
      <c r="E36" s="39" t="n">
        <v>0.351433070866142</v>
      </c>
    </row>
    <row r="37" customFormat="false" ht="21.75" hidden="false" customHeight="true" outlineLevel="0" collapsed="false">
      <c r="B37" s="43" t="s">
        <v>139</v>
      </c>
      <c r="C37" s="44" t="n">
        <v>170.9</v>
      </c>
      <c r="D37" s="44" t="n">
        <v>147.7</v>
      </c>
      <c r="E37" s="39" t="n">
        <v>0.157075152335816</v>
      </c>
    </row>
    <row r="38" customFormat="false" ht="21.75" hidden="false" customHeight="true" outlineLevel="0" collapsed="false">
      <c r="B38" s="43" t="s">
        <v>140</v>
      </c>
      <c r="C38" s="44" t="n">
        <v>44</v>
      </c>
      <c r="D38" s="44" t="n">
        <v>40.2</v>
      </c>
      <c r="E38" s="39" t="n">
        <v>0.0945273631840795</v>
      </c>
    </row>
    <row r="39" customFormat="false" ht="21.75" hidden="false" customHeight="true" outlineLevel="0" collapsed="false">
      <c r="B39" s="43" t="s">
        <v>141</v>
      </c>
      <c r="C39" s="44" t="n">
        <v>1620.1</v>
      </c>
      <c r="D39" s="44" t="n">
        <v>1520.4</v>
      </c>
      <c r="E39" s="39" t="n">
        <v>0.0655748487240199</v>
      </c>
    </row>
    <row r="40" customFormat="false" ht="21.75" hidden="false" customHeight="true" outlineLevel="0" collapsed="false">
      <c r="B40" s="43" t="s">
        <v>142</v>
      </c>
      <c r="C40" s="44" t="n">
        <v>252.6</v>
      </c>
      <c r="D40" s="44" t="n">
        <v>260.1</v>
      </c>
      <c r="E40" s="37" t="n">
        <v>-0.0288350634371397</v>
      </c>
    </row>
    <row r="41" customFormat="false" ht="21.75" hidden="false" customHeight="true" outlineLevel="0" collapsed="false">
      <c r="B41" s="19" t="s">
        <v>143</v>
      </c>
      <c r="C41" s="45" t="n">
        <v>4233.1</v>
      </c>
      <c r="D41" s="45" t="n">
        <v>3556</v>
      </c>
      <c r="E41" s="35" t="n">
        <v>0.19041057367829</v>
      </c>
    </row>
    <row r="42" customFormat="false" ht="21.75" hidden="false" customHeight="true" outlineLevel="0" collapsed="false">
      <c r="B42" s="19" t="s">
        <v>144</v>
      </c>
      <c r="C42" s="45" t="n">
        <v>5097.1</v>
      </c>
      <c r="D42" s="45" t="n">
        <v>4431.2</v>
      </c>
      <c r="E42" s="35" t="n">
        <v>0.150275320454956</v>
      </c>
    </row>
    <row r="43" customFormat="false" ht="21.75" hidden="false" customHeight="true" outlineLevel="0" collapsed="false">
      <c r="B43" s="19" t="s">
        <v>145</v>
      </c>
      <c r="C43" s="45" t="n">
        <v>9280.4</v>
      </c>
      <c r="D43" s="45" t="n">
        <v>8537</v>
      </c>
      <c r="E43" s="35" t="n">
        <v>0.0870797704111514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4" min="3" style="0" width="16"/>
  </cols>
  <sheetData>
    <row r="2" customFormat="false" ht="30" hidden="false" customHeight="true" outlineLevel="0" collapsed="false">
      <c r="B2" s="14" t="s">
        <v>146</v>
      </c>
    </row>
    <row r="3" customFormat="false" ht="19.5" hidden="false" customHeight="true" outlineLevel="0" collapsed="false">
      <c r="B3" s="15" t="s">
        <v>147</v>
      </c>
    </row>
    <row r="4" customFormat="false" ht="25.5" hidden="false" customHeight="true" outlineLevel="0" collapsed="false">
      <c r="B4" s="16" t="s">
        <v>148</v>
      </c>
    </row>
    <row r="5" customFormat="false" ht="7.5" hidden="false" customHeight="true" outlineLevel="0" collapsed="false"/>
    <row r="7" customFormat="false" ht="25.5" hidden="false" customHeight="true" outlineLevel="0" collapsed="false">
      <c r="B7" s="17" t="s">
        <v>84</v>
      </c>
      <c r="C7" s="18" t="s">
        <v>60</v>
      </c>
      <c r="D7" s="18" t="s">
        <v>61</v>
      </c>
    </row>
    <row r="8" customFormat="false" ht="21.75" hidden="false" customHeight="true" outlineLevel="0" collapsed="false">
      <c r="B8" s="46" t="s">
        <v>149</v>
      </c>
      <c r="C8" s="42"/>
      <c r="D8" s="42"/>
    </row>
    <row r="9" customFormat="false" ht="21.75" hidden="false" customHeight="true" outlineLevel="0" collapsed="false">
      <c r="B9" s="36" t="s">
        <v>150</v>
      </c>
      <c r="C9" s="44" t="n">
        <v>113.5</v>
      </c>
      <c r="D9" s="44" t="n">
        <v>147.7</v>
      </c>
    </row>
    <row r="10" customFormat="false" ht="21.75" hidden="false" customHeight="true" outlineLevel="0" collapsed="false">
      <c r="B10" s="36" t="s">
        <v>151</v>
      </c>
      <c r="C10" s="44" t="n">
        <v>70.6</v>
      </c>
      <c r="D10" s="44" t="n">
        <v>56.5</v>
      </c>
    </row>
    <row r="11" customFormat="false" ht="21.75" hidden="false" customHeight="true" outlineLevel="0" collapsed="false">
      <c r="B11" s="36" t="s">
        <v>152</v>
      </c>
      <c r="C11" s="44" t="n">
        <v>1.1</v>
      </c>
      <c r="D11" s="44" t="n">
        <v>1.2</v>
      </c>
    </row>
    <row r="12" customFormat="false" ht="21.75" hidden="false" customHeight="true" outlineLevel="0" collapsed="false">
      <c r="B12" s="36" t="s">
        <v>153</v>
      </c>
      <c r="C12" s="44" t="n">
        <v>2.4</v>
      </c>
      <c r="D12" s="44" t="n">
        <v>1.5</v>
      </c>
    </row>
    <row r="13" customFormat="false" ht="21.75" hidden="false" customHeight="true" outlineLevel="0" collapsed="false">
      <c r="B13" s="36" t="s">
        <v>154</v>
      </c>
      <c r="C13" s="44" t="n">
        <v>75.1</v>
      </c>
      <c r="D13" s="44" t="n">
        <v>59.7</v>
      </c>
    </row>
    <row r="14" customFormat="false" ht="21.75" hidden="false" customHeight="true" outlineLevel="0" collapsed="false">
      <c r="B14" s="36" t="s">
        <v>155</v>
      </c>
      <c r="C14" s="44" t="n">
        <v>-0.2</v>
      </c>
      <c r="D14" s="44" t="n">
        <v>0</v>
      </c>
    </row>
    <row r="15" customFormat="false" ht="21.75" hidden="false" customHeight="true" outlineLevel="0" collapsed="false">
      <c r="B15" s="36" t="s">
        <v>156</v>
      </c>
      <c r="C15" s="44" t="n">
        <v>-1</v>
      </c>
      <c r="D15" s="44" t="n">
        <v>-0.4</v>
      </c>
    </row>
    <row r="16" customFormat="false" ht="21.75" hidden="false" customHeight="true" outlineLevel="0" collapsed="false">
      <c r="B16" s="36" t="s">
        <v>157</v>
      </c>
      <c r="C16" s="44" t="n">
        <v>-58.6</v>
      </c>
      <c r="D16" s="44" t="n">
        <v>-11</v>
      </c>
    </row>
    <row r="17" customFormat="false" ht="21.75" hidden="false" customHeight="true" outlineLevel="0" collapsed="false">
      <c r="B17" s="19" t="s">
        <v>158</v>
      </c>
      <c r="C17" s="45" t="n">
        <v>203</v>
      </c>
      <c r="D17" s="45" t="n">
        <v>255.2</v>
      </c>
    </row>
    <row r="18" customFormat="false" ht="21.75" hidden="false" customHeight="true" outlineLevel="0" collapsed="false">
      <c r="B18" s="46" t="s">
        <v>159</v>
      </c>
      <c r="C18" s="42"/>
      <c r="D18" s="42"/>
    </row>
    <row r="19" customFormat="false" ht="21.75" hidden="false" customHeight="true" outlineLevel="0" collapsed="false">
      <c r="B19" s="36" t="s">
        <v>160</v>
      </c>
      <c r="C19" s="44" t="n">
        <v>-320.5</v>
      </c>
      <c r="D19" s="44" t="n">
        <v>-57.3</v>
      </c>
    </row>
    <row r="20" customFormat="false" ht="21.75" hidden="false" customHeight="true" outlineLevel="0" collapsed="false">
      <c r="B20" s="36" t="s">
        <v>161</v>
      </c>
      <c r="C20" s="44" t="n">
        <v>-218.1</v>
      </c>
      <c r="D20" s="44" t="n">
        <v>-155.8</v>
      </c>
    </row>
    <row r="21" customFormat="false" ht="21.75" hidden="false" customHeight="true" outlineLevel="0" collapsed="false">
      <c r="B21" s="36" t="s">
        <v>162</v>
      </c>
      <c r="C21" s="44" t="n">
        <v>171.9</v>
      </c>
      <c r="D21" s="44" t="n">
        <v>-276.4</v>
      </c>
    </row>
    <row r="22" customFormat="false" ht="21.75" hidden="false" customHeight="true" outlineLevel="0" collapsed="false">
      <c r="B22" s="36" t="s">
        <v>163</v>
      </c>
      <c r="C22" s="44" t="n">
        <v>-7.5</v>
      </c>
      <c r="D22" s="44" t="n">
        <v>17.9</v>
      </c>
    </row>
    <row r="23" customFormat="false" ht="21.75" hidden="false" customHeight="true" outlineLevel="0" collapsed="false">
      <c r="B23" s="19" t="s">
        <v>164</v>
      </c>
      <c r="C23" s="45" t="n">
        <v>-374.2</v>
      </c>
      <c r="D23" s="45" t="n">
        <v>-471.6</v>
      </c>
    </row>
    <row r="24" customFormat="false" ht="21.75" hidden="false" customHeight="true" outlineLevel="0" collapsed="false">
      <c r="B24" s="46" t="s">
        <v>165</v>
      </c>
      <c r="C24" s="42"/>
      <c r="D24" s="42"/>
    </row>
    <row r="25" customFormat="false" ht="21.75" hidden="false" customHeight="true" outlineLevel="0" collapsed="false">
      <c r="B25" s="36" t="s">
        <v>166</v>
      </c>
      <c r="C25" s="44" t="n">
        <v>1</v>
      </c>
      <c r="D25" s="44" t="n">
        <v>0.4</v>
      </c>
    </row>
    <row r="26" customFormat="false" ht="21.75" hidden="false" customHeight="true" outlineLevel="0" collapsed="false">
      <c r="B26" s="36" t="s">
        <v>167</v>
      </c>
      <c r="C26" s="44" t="n">
        <v>-75.1</v>
      </c>
      <c r="D26" s="44" t="n">
        <v>-59.7</v>
      </c>
    </row>
    <row r="27" customFormat="false" ht="21.75" hidden="false" customHeight="true" outlineLevel="0" collapsed="false">
      <c r="B27" s="36" t="s">
        <v>168</v>
      </c>
      <c r="C27" s="44" t="n">
        <v>-2.4</v>
      </c>
      <c r="D27" s="44" t="n">
        <v>-1.5</v>
      </c>
    </row>
    <row r="28" customFormat="false" ht="21.75" hidden="false" customHeight="true" outlineLevel="0" collapsed="false">
      <c r="B28" s="36" t="s">
        <v>169</v>
      </c>
      <c r="C28" s="44" t="n">
        <v>-25.3</v>
      </c>
      <c r="D28" s="44" t="n">
        <v>-11.8</v>
      </c>
    </row>
    <row r="29" customFormat="false" ht="21.75" hidden="false" customHeight="true" outlineLevel="0" collapsed="false">
      <c r="B29" s="19" t="s">
        <v>170</v>
      </c>
      <c r="C29" s="45" t="n">
        <v>-273.1</v>
      </c>
      <c r="D29" s="45" t="n">
        <v>-289</v>
      </c>
    </row>
    <row r="30" customFormat="false" ht="21.75" hidden="false" customHeight="true" outlineLevel="0" collapsed="false">
      <c r="B30" s="46" t="s">
        <v>171</v>
      </c>
      <c r="C30" s="42"/>
      <c r="D30" s="42"/>
    </row>
    <row r="31" customFormat="false" ht="21.75" hidden="false" customHeight="true" outlineLevel="0" collapsed="false">
      <c r="B31" s="36" t="s">
        <v>172</v>
      </c>
      <c r="C31" s="44" t="n">
        <v>-68.6</v>
      </c>
      <c r="D31" s="44" t="n">
        <v>-182.2</v>
      </c>
    </row>
    <row r="32" customFormat="false" ht="21.75" hidden="false" customHeight="true" outlineLevel="0" collapsed="false">
      <c r="B32" s="36" t="s">
        <v>173</v>
      </c>
      <c r="C32" s="44" t="n">
        <v>0</v>
      </c>
      <c r="D32" s="44" t="n">
        <v>0</v>
      </c>
    </row>
    <row r="33" customFormat="false" ht="21.75" hidden="false" customHeight="true" outlineLevel="0" collapsed="false">
      <c r="B33" s="36" t="s">
        <v>174</v>
      </c>
      <c r="C33" s="44" t="n">
        <v>-10</v>
      </c>
      <c r="D33" s="44" t="n">
        <v>0</v>
      </c>
    </row>
    <row r="34" customFormat="false" ht="21.75" hidden="false" customHeight="true" outlineLevel="0" collapsed="false">
      <c r="B34" s="19" t="s">
        <v>175</v>
      </c>
      <c r="C34" s="45" t="n">
        <v>-78.6</v>
      </c>
      <c r="D34" s="45" t="n">
        <v>-182.2</v>
      </c>
    </row>
    <row r="35" customFormat="false" ht="21.75" hidden="false" customHeight="true" outlineLevel="0" collapsed="false">
      <c r="B35" s="46" t="s">
        <v>176</v>
      </c>
      <c r="C35" s="42"/>
      <c r="D35" s="42"/>
    </row>
    <row r="36" customFormat="false" ht="21.75" hidden="false" customHeight="true" outlineLevel="0" collapsed="false">
      <c r="B36" s="36" t="s">
        <v>177</v>
      </c>
      <c r="C36" s="44" t="n">
        <v>0</v>
      </c>
      <c r="D36" s="44" t="n">
        <v>-0.3</v>
      </c>
    </row>
    <row r="37" customFormat="false" ht="21.75" hidden="false" customHeight="true" outlineLevel="0" collapsed="false">
      <c r="B37" s="36" t="s">
        <v>178</v>
      </c>
      <c r="C37" s="44" t="n">
        <v>-8.6</v>
      </c>
      <c r="D37" s="44" t="n">
        <v>-10.2</v>
      </c>
    </row>
    <row r="38" customFormat="false" ht="21.75" hidden="false" customHeight="true" outlineLevel="0" collapsed="false">
      <c r="B38" s="36" t="s">
        <v>179</v>
      </c>
      <c r="C38" s="44" t="n">
        <v>557.9</v>
      </c>
      <c r="D38" s="44" t="n">
        <v>483.6</v>
      </c>
    </row>
    <row r="39" customFormat="false" ht="21.75" hidden="false" customHeight="true" outlineLevel="0" collapsed="false">
      <c r="B39" s="19" t="s">
        <v>180</v>
      </c>
      <c r="C39" s="45" t="n">
        <v>549.3</v>
      </c>
      <c r="D39" s="45" t="n">
        <v>473.1</v>
      </c>
    </row>
    <row r="40" customFormat="false" ht="21.75" hidden="false" customHeight="true" outlineLevel="0" collapsed="false">
      <c r="B40" s="46" t="s">
        <v>181</v>
      </c>
      <c r="C40" s="42"/>
      <c r="D40" s="42"/>
    </row>
    <row r="41" customFormat="false" ht="21.75" hidden="false" customHeight="true" outlineLevel="0" collapsed="false">
      <c r="B41" s="19" t="s">
        <v>182</v>
      </c>
      <c r="C41" s="45" t="n">
        <v>197.6</v>
      </c>
      <c r="D41" s="45" t="n">
        <v>1.8</v>
      </c>
    </row>
    <row r="42" customFormat="false" ht="21.75" hidden="false" customHeight="true" outlineLevel="0" collapsed="false">
      <c r="B42" s="36" t="s">
        <v>183</v>
      </c>
      <c r="C42" s="44" t="n">
        <v>314</v>
      </c>
      <c r="D42" s="44" t="n">
        <v>352.2</v>
      </c>
    </row>
    <row r="43" customFormat="false" ht="21.75" hidden="false" customHeight="true" outlineLevel="0" collapsed="false">
      <c r="B43" s="36" t="s">
        <v>184</v>
      </c>
      <c r="C43" s="44" t="n">
        <v>-1.8</v>
      </c>
      <c r="D43" s="44" t="n">
        <v>-0.5</v>
      </c>
    </row>
    <row r="44" customFormat="false" ht="21.75" hidden="false" customHeight="true" outlineLevel="0" collapsed="false">
      <c r="B44" s="19" t="s">
        <v>185</v>
      </c>
      <c r="C44" s="45" t="n">
        <v>509.8</v>
      </c>
      <c r="D44" s="45" t="n">
        <v>353.5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7" min="6" style="0" width="12"/>
  </cols>
  <sheetData>
    <row r="2" customFormat="false" ht="30" hidden="false" customHeight="true" outlineLevel="0" collapsed="false">
      <c r="B2" s="14" t="s">
        <v>186</v>
      </c>
    </row>
    <row r="3" customFormat="false" ht="19.5" hidden="false" customHeight="true" outlineLevel="0" collapsed="false">
      <c r="B3" s="15" t="s">
        <v>187</v>
      </c>
    </row>
    <row r="4" customFormat="false" ht="25.5" hidden="false" customHeight="true" outlineLevel="0" collapsed="false">
      <c r="B4" s="16" t="s">
        <v>188</v>
      </c>
    </row>
    <row r="5" customFormat="false" ht="7.5" hidden="false" customHeight="true" outlineLevel="0" collapsed="false"/>
    <row r="7" customFormat="false" ht="25.5" hidden="false" customHeight="true" outlineLevel="0" collapsed="false">
      <c r="B7" s="17" t="s">
        <v>189</v>
      </c>
      <c r="C7" s="18" t="s">
        <v>60</v>
      </c>
      <c r="D7" s="18" t="s">
        <v>61</v>
      </c>
      <c r="E7" s="18" t="s">
        <v>85</v>
      </c>
      <c r="F7" s="18" t="s">
        <v>190</v>
      </c>
      <c r="G7" s="18" t="s">
        <v>191</v>
      </c>
    </row>
    <row r="8" customFormat="false" ht="21.75" hidden="false" customHeight="true" outlineLevel="0" collapsed="false">
      <c r="B8" s="23" t="s">
        <v>192</v>
      </c>
      <c r="C8" s="44" t="n">
        <v>1249.4</v>
      </c>
      <c r="D8" s="44" t="n">
        <v>1064.7</v>
      </c>
      <c r="E8" s="22" t="n">
        <v>0.17347609655302</v>
      </c>
      <c r="F8" s="47" t="n">
        <f aca="false">C8/C$11</f>
        <v>0.638491414554375</v>
      </c>
      <c r="G8" s="47" t="n">
        <f aca="false">D8/D$11</f>
        <v>0.629776410741749</v>
      </c>
    </row>
    <row r="9" customFormat="false" ht="21.75" hidden="false" customHeight="true" outlineLevel="0" collapsed="false">
      <c r="B9" s="23" t="s">
        <v>193</v>
      </c>
      <c r="C9" s="44" t="n">
        <v>620.4</v>
      </c>
      <c r="D9" s="44" t="n">
        <v>575.1</v>
      </c>
      <c r="E9" s="22" t="n">
        <v>0.0787689097548252</v>
      </c>
      <c r="F9" s="47" t="n">
        <f aca="false">C9/C$11</f>
        <v>0.3170482420278</v>
      </c>
      <c r="G9" s="47" t="n">
        <f aca="false">D9/D$11</f>
        <v>0.340175085768366</v>
      </c>
    </row>
    <row r="10" customFormat="false" ht="21.75" hidden="false" customHeight="true" outlineLevel="0" collapsed="false">
      <c r="B10" s="23" t="s">
        <v>194</v>
      </c>
      <c r="C10" s="44" t="n">
        <v>87</v>
      </c>
      <c r="D10" s="44" t="n">
        <v>50.8</v>
      </c>
      <c r="E10" s="22" t="n">
        <v>0.712598425196851</v>
      </c>
      <c r="F10" s="47" t="n">
        <f aca="false">C10/C$11</f>
        <v>0.044460343417825</v>
      </c>
      <c r="G10" s="47" t="n">
        <f aca="false">D10/D$11</f>
        <v>0.0300485034898852</v>
      </c>
    </row>
    <row r="11" customFormat="false" ht="24" hidden="false" customHeight="true" outlineLevel="0" collapsed="false">
      <c r="B11" s="19" t="s">
        <v>195</v>
      </c>
      <c r="C11" s="45" t="n">
        <f aca="false">SUM(C8:C10)</f>
        <v>1956.8</v>
      </c>
      <c r="D11" s="45" t="n">
        <f aca="false">SUM(D8:D10)</f>
        <v>1690.6</v>
      </c>
      <c r="E11" s="35" t="n">
        <f aca="false">(C11-D11)/D11</f>
        <v>0.157458890334792</v>
      </c>
      <c r="F11" s="48" t="n">
        <f aca="false">SUM(F8:F10)</f>
        <v>1</v>
      </c>
      <c r="G11" s="48" t="n">
        <f aca="false">SUM(G8:G10)</f>
        <v>1</v>
      </c>
    </row>
    <row r="13" customFormat="false" ht="12" hidden="false" customHeight="true" outlineLevel="0" collapsed="false"/>
    <row r="14" customFormat="false" ht="24" hidden="false" customHeight="true" outlineLevel="0" collapsed="false">
      <c r="B14" s="31" t="s">
        <v>196</v>
      </c>
      <c r="C14" s="31"/>
      <c r="D14" s="31"/>
      <c r="E14" s="31"/>
      <c r="F14" s="31"/>
      <c r="G14" s="31"/>
    </row>
    <row r="15" customFormat="false" ht="54.75" hidden="false" customHeight="true" outlineLevel="0" collapsed="false">
      <c r="B15" s="49" t="s">
        <v>197</v>
      </c>
      <c r="C15" s="49"/>
      <c r="D15" s="49"/>
      <c r="E15" s="49"/>
      <c r="F15" s="49"/>
      <c r="G15" s="49"/>
    </row>
  </sheetData>
  <mergeCells count="2">
    <mergeCell ref="B14:G14"/>
    <mergeCell ref="B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6" min="5" style="0" width="13"/>
  </cols>
  <sheetData>
    <row r="2" customFormat="false" ht="30" hidden="false" customHeight="true" outlineLevel="0" collapsed="false">
      <c r="B2" s="14" t="s">
        <v>198</v>
      </c>
    </row>
    <row r="3" customFormat="false" ht="19.5" hidden="false" customHeight="true" outlineLevel="0" collapsed="false">
      <c r="B3" s="15" t="s">
        <v>199</v>
      </c>
    </row>
    <row r="4" customFormat="false" ht="25.5" hidden="false" customHeight="true" outlineLevel="0" collapsed="false">
      <c r="B4" s="16" t="s">
        <v>200</v>
      </c>
    </row>
    <row r="5" customFormat="false" ht="7.5" hidden="false" customHeight="true" outlineLevel="0" collapsed="false"/>
    <row r="7" customFormat="false" ht="24" hidden="false" customHeight="true" outlineLevel="0" collapsed="false">
      <c r="B7" s="50" t="s">
        <v>201</v>
      </c>
      <c r="C7" s="50"/>
      <c r="D7" s="50"/>
      <c r="E7" s="50"/>
      <c r="F7" s="50"/>
    </row>
    <row r="8" customFormat="false" ht="25.5" hidden="false" customHeight="true" outlineLevel="0" collapsed="false">
      <c r="B8" s="17" t="s">
        <v>202</v>
      </c>
      <c r="C8" s="18" t="s">
        <v>60</v>
      </c>
      <c r="D8" s="18" t="s">
        <v>61</v>
      </c>
      <c r="E8" s="18" t="s">
        <v>85</v>
      </c>
      <c r="F8" s="18" t="s">
        <v>190</v>
      </c>
    </row>
    <row r="9" customFormat="false" ht="21.75" hidden="false" customHeight="true" outlineLevel="0" collapsed="false">
      <c r="B9" s="23" t="s">
        <v>203</v>
      </c>
      <c r="C9" s="44" t="n">
        <v>1492.5</v>
      </c>
      <c r="D9" s="44" t="n">
        <v>1419.1</v>
      </c>
      <c r="E9" s="22" t="n">
        <v>0.0517229229793532</v>
      </c>
      <c r="F9" s="47" t="n">
        <f aca="false">C9/C$12</f>
        <v>0.76272485690924</v>
      </c>
    </row>
    <row r="10" customFormat="false" ht="21.75" hidden="false" customHeight="true" outlineLevel="0" collapsed="false">
      <c r="B10" s="23" t="s">
        <v>204</v>
      </c>
      <c r="C10" s="44" t="n">
        <v>22.3</v>
      </c>
      <c r="D10" s="44" t="n">
        <v>33.6</v>
      </c>
      <c r="E10" s="26" t="n">
        <v>-0.336309523809524</v>
      </c>
      <c r="F10" s="47" t="n">
        <f aca="false">C10/C$12</f>
        <v>0.0113961569910057</v>
      </c>
    </row>
    <row r="11" customFormat="false" ht="21.75" hidden="false" customHeight="true" outlineLevel="0" collapsed="false">
      <c r="B11" s="23" t="s">
        <v>205</v>
      </c>
      <c r="C11" s="44" t="n">
        <v>442</v>
      </c>
      <c r="D11" s="44" t="n">
        <v>237.9</v>
      </c>
      <c r="E11" s="22" t="n">
        <v>0.85792349726776</v>
      </c>
      <c r="F11" s="47" t="n">
        <f aca="false">C11/C$12</f>
        <v>0.225878986099755</v>
      </c>
    </row>
    <row r="12" customFormat="false" ht="24" hidden="false" customHeight="true" outlineLevel="0" collapsed="false">
      <c r="B12" s="19" t="s">
        <v>206</v>
      </c>
      <c r="C12" s="45" t="n">
        <f aca="false">SUM(C9:C11)</f>
        <v>1956.8</v>
      </c>
      <c r="D12" s="45" t="n">
        <f aca="false">SUM(D9:D11)</f>
        <v>1690.6</v>
      </c>
      <c r="E12" s="35" t="n">
        <f aca="false">(C12-D12)/D12</f>
        <v>0.157458890334792</v>
      </c>
      <c r="F12" s="48" t="n">
        <f aca="false">SUM(F9:F11)</f>
        <v>1</v>
      </c>
    </row>
    <row r="14" customFormat="false" ht="12" hidden="false" customHeight="true" outlineLevel="0" collapsed="false"/>
    <row r="15" customFormat="false" ht="24" hidden="false" customHeight="true" outlineLevel="0" collapsed="false">
      <c r="B15" s="50" t="s">
        <v>207</v>
      </c>
      <c r="C15" s="50"/>
      <c r="D15" s="50"/>
      <c r="E15" s="50"/>
      <c r="F15" s="50"/>
    </row>
    <row r="16" customFormat="false" ht="25.5" hidden="false" customHeight="true" outlineLevel="0" collapsed="false">
      <c r="B16" s="17" t="s">
        <v>208</v>
      </c>
      <c r="C16" s="18" t="s">
        <v>60</v>
      </c>
      <c r="D16" s="18" t="s">
        <v>61</v>
      </c>
      <c r="E16" s="18" t="s">
        <v>85</v>
      </c>
      <c r="F16" s="18" t="s">
        <v>190</v>
      </c>
    </row>
    <row r="17" customFormat="false" ht="21.75" hidden="false" customHeight="true" outlineLevel="0" collapsed="false">
      <c r="B17" s="23" t="s">
        <v>209</v>
      </c>
      <c r="C17" s="44" t="n">
        <v>1492.5</v>
      </c>
      <c r="D17" s="44" t="n">
        <v>1419.1</v>
      </c>
      <c r="E17" s="22" t="n">
        <v>0.0517229229793532</v>
      </c>
      <c r="F17" s="47" t="n">
        <f aca="false">C17/C$19</f>
        <v>0.76272485690924</v>
      </c>
    </row>
    <row r="18" customFormat="false" ht="21.75" hidden="false" customHeight="true" outlineLevel="0" collapsed="false">
      <c r="B18" s="23" t="s">
        <v>210</v>
      </c>
      <c r="C18" s="44" t="n">
        <v>464.3</v>
      </c>
      <c r="D18" s="44" t="n">
        <v>271.5</v>
      </c>
      <c r="E18" s="22" t="n">
        <v>0.710128913443831</v>
      </c>
      <c r="F18" s="47" t="n">
        <f aca="false">C18/C$19</f>
        <v>0.23727514309076</v>
      </c>
    </row>
    <row r="19" customFormat="false" ht="24" hidden="false" customHeight="true" outlineLevel="0" collapsed="false">
      <c r="B19" s="19" t="s">
        <v>206</v>
      </c>
      <c r="C19" s="45" t="n">
        <f aca="false">SUM(C17:C18)</f>
        <v>1956.8</v>
      </c>
      <c r="D19" s="45" t="n">
        <f aca="false">SUM(D17:D18)</f>
        <v>1690.6</v>
      </c>
      <c r="E19" s="35" t="n">
        <f aca="false">(C19-D19)/D19</f>
        <v>0.157458890334792</v>
      </c>
      <c r="F19" s="48" t="n">
        <f aca="false">SUM(F17:F18)</f>
        <v>1</v>
      </c>
    </row>
    <row r="21" customFormat="false" ht="12" hidden="false" customHeight="true" outlineLevel="0" collapsed="false"/>
    <row r="22" customFormat="false" ht="24" hidden="false" customHeight="true" outlineLevel="0" collapsed="false">
      <c r="B22" s="31" t="s">
        <v>211</v>
      </c>
      <c r="C22" s="31"/>
      <c r="D22" s="31"/>
      <c r="E22" s="31"/>
      <c r="F22" s="31"/>
    </row>
    <row r="23" customFormat="false" ht="54.75" hidden="false" customHeight="true" outlineLevel="0" collapsed="false">
      <c r="B23" s="32" t="s">
        <v>212</v>
      </c>
      <c r="C23" s="32"/>
      <c r="D23" s="32"/>
      <c r="E23" s="32"/>
      <c r="F23" s="32"/>
    </row>
  </sheetData>
  <mergeCells count="4">
    <mergeCell ref="B7:F7"/>
    <mergeCell ref="B15:F15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7" min="3" style="0" width="14"/>
  </cols>
  <sheetData>
    <row r="2" customFormat="false" ht="30" hidden="false" customHeight="true" outlineLevel="0" collapsed="false">
      <c r="B2" s="14" t="s">
        <v>213</v>
      </c>
    </row>
    <row r="3" customFormat="false" ht="19.5" hidden="false" customHeight="true" outlineLevel="0" collapsed="false">
      <c r="B3" s="15" t="s">
        <v>214</v>
      </c>
    </row>
    <row r="4" customFormat="false" ht="25.5" hidden="false" customHeight="true" outlineLevel="0" collapsed="false">
      <c r="B4" s="16" t="s">
        <v>215</v>
      </c>
    </row>
    <row r="5" customFormat="false" ht="7.5" hidden="false" customHeight="true" outlineLevel="0" collapsed="false"/>
    <row r="7" customFormat="false" ht="24" hidden="false" customHeight="true" outlineLevel="0" collapsed="false">
      <c r="B7" s="50" t="s">
        <v>216</v>
      </c>
      <c r="C7" s="50"/>
      <c r="D7" s="50"/>
      <c r="E7" s="50"/>
      <c r="F7" s="50"/>
      <c r="G7" s="50"/>
    </row>
    <row r="8" customFormat="false" ht="25.5" hidden="false" customHeight="true" outlineLevel="0" collapsed="false">
      <c r="B8" s="17" t="s">
        <v>217</v>
      </c>
      <c r="C8" s="18" t="s">
        <v>218</v>
      </c>
      <c r="D8" s="18" t="s">
        <v>61</v>
      </c>
      <c r="E8" s="18" t="s">
        <v>60</v>
      </c>
      <c r="F8" s="18" t="s">
        <v>219</v>
      </c>
      <c r="G8" s="18" t="s">
        <v>220</v>
      </c>
    </row>
    <row r="9" customFormat="false" ht="21.75" hidden="false" customHeight="true" outlineLevel="0" collapsed="false">
      <c r="B9" s="51" t="s">
        <v>67</v>
      </c>
      <c r="C9" s="52" t="n">
        <v>0.231</v>
      </c>
      <c r="D9" s="52" t="n">
        <v>0.261</v>
      </c>
      <c r="E9" s="52" t="n">
        <v>0.202</v>
      </c>
      <c r="F9" s="53" t="n">
        <v>-0.059</v>
      </c>
      <c r="G9" s="54" t="s">
        <v>221</v>
      </c>
    </row>
    <row r="10" customFormat="false" ht="21.75" hidden="false" customHeight="true" outlineLevel="0" collapsed="false">
      <c r="B10" s="51" t="s">
        <v>71</v>
      </c>
      <c r="C10" s="52" t="n">
        <v>0.132</v>
      </c>
      <c r="D10" s="52" t="n">
        <v>0.129</v>
      </c>
      <c r="E10" s="52" t="n">
        <v>0.076</v>
      </c>
      <c r="F10" s="53" t="n">
        <v>-0.053</v>
      </c>
      <c r="G10" s="54" t="s">
        <v>221</v>
      </c>
    </row>
    <row r="11" customFormat="false" ht="21.75" hidden="false" customHeight="true" outlineLevel="0" collapsed="false">
      <c r="B11" s="51" t="s">
        <v>76</v>
      </c>
      <c r="C11" s="52" t="n">
        <v>0.054</v>
      </c>
      <c r="D11" s="52" t="n">
        <v>0.055</v>
      </c>
      <c r="E11" s="52" t="n">
        <v>0.024</v>
      </c>
      <c r="F11" s="53" t="n">
        <v>-0.031</v>
      </c>
      <c r="G11" s="54" t="s">
        <v>221</v>
      </c>
    </row>
    <row r="13" customFormat="false" ht="12" hidden="false" customHeight="true" outlineLevel="0" collapsed="false"/>
    <row r="14" customFormat="false" ht="24" hidden="false" customHeight="true" outlineLevel="0" collapsed="false">
      <c r="B14" s="50" t="s">
        <v>222</v>
      </c>
      <c r="C14" s="50"/>
      <c r="D14" s="50"/>
      <c r="E14" s="50"/>
      <c r="F14" s="50"/>
      <c r="G14" s="50"/>
    </row>
    <row r="15" customFormat="false" ht="25.5" hidden="false" customHeight="true" outlineLevel="0" collapsed="false">
      <c r="B15" s="17" t="s">
        <v>223</v>
      </c>
      <c r="C15" s="18" t="s">
        <v>60</v>
      </c>
      <c r="D15" s="18" t="s">
        <v>61</v>
      </c>
      <c r="E15" s="18" t="s">
        <v>85</v>
      </c>
      <c r="F15" s="18" t="s">
        <v>224</v>
      </c>
    </row>
    <row r="16" customFormat="false" ht="21.75" hidden="false" customHeight="true" outlineLevel="0" collapsed="false">
      <c r="B16" s="23" t="s">
        <v>225</v>
      </c>
      <c r="C16" s="44" t="n">
        <v>996.5</v>
      </c>
      <c r="D16" s="44" t="n">
        <v>800.1</v>
      </c>
      <c r="E16" s="26" t="n">
        <v>0.245469316335458</v>
      </c>
      <c r="F16" s="47" t="n">
        <v>0.509249795584628</v>
      </c>
    </row>
    <row r="17" customFormat="false" ht="21.75" hidden="false" customHeight="true" outlineLevel="0" collapsed="false">
      <c r="B17" s="23" t="s">
        <v>226</v>
      </c>
      <c r="C17" s="44" t="n">
        <v>296.7</v>
      </c>
      <c r="D17" s="44" t="n">
        <v>238.2</v>
      </c>
      <c r="E17" s="26" t="n">
        <v>0.2455919395466</v>
      </c>
      <c r="F17" s="47" t="n">
        <v>0.151625102207686</v>
      </c>
    </row>
    <row r="18" customFormat="false" ht="21.75" hidden="false" customHeight="true" outlineLevel="0" collapsed="false">
      <c r="B18" s="23" t="s">
        <v>227</v>
      </c>
      <c r="C18" s="44" t="n">
        <v>54.8</v>
      </c>
      <c r="D18" s="44" t="n">
        <v>42.8</v>
      </c>
      <c r="E18" s="26" t="n">
        <v>0.280373831775701</v>
      </c>
      <c r="F18" s="47" t="n">
        <v>0.0280049059689289</v>
      </c>
    </row>
    <row r="19" customFormat="false" ht="21.75" hidden="false" customHeight="true" outlineLevel="0" collapsed="false">
      <c r="B19" s="23" t="s">
        <v>228</v>
      </c>
      <c r="C19" s="44" t="n">
        <v>19.4</v>
      </c>
      <c r="D19" s="44" t="n">
        <v>17.1</v>
      </c>
      <c r="E19" s="26" t="n">
        <v>0.134502923976608</v>
      </c>
      <c r="F19" s="47" t="n">
        <v>0.00991414554374489</v>
      </c>
    </row>
    <row r="20" customFormat="false" ht="21.75" hidden="false" customHeight="true" outlineLevel="0" collapsed="false">
      <c r="B20" s="23" t="s">
        <v>229</v>
      </c>
      <c r="C20" s="44" t="n">
        <v>-197.3</v>
      </c>
      <c r="D20" s="44" t="n">
        <v>-47</v>
      </c>
      <c r="E20" s="22" t="n">
        <v>-3.19787234042553</v>
      </c>
      <c r="F20" s="47" t="n">
        <v>-0.100827882256746</v>
      </c>
    </row>
    <row r="21" customFormat="false" ht="21.75" hidden="false" customHeight="true" outlineLevel="0" collapsed="false">
      <c r="B21" s="23" t="s">
        <v>230</v>
      </c>
      <c r="C21" s="44" t="n">
        <v>391.4</v>
      </c>
      <c r="D21" s="44" t="n">
        <v>199</v>
      </c>
      <c r="E21" s="26" t="n">
        <v>0.966834170854271</v>
      </c>
      <c r="F21" s="47" t="n">
        <v>0.200020441537204</v>
      </c>
    </row>
    <row r="22" customFormat="false" ht="24" hidden="false" customHeight="true" outlineLevel="0" collapsed="false">
      <c r="B22" s="19" t="s">
        <v>231</v>
      </c>
      <c r="C22" s="45" t="n">
        <f aca="false">SUM(C16:C21)</f>
        <v>1561.5</v>
      </c>
      <c r="D22" s="45" t="n">
        <f aca="false">SUM(D16:D21)</f>
        <v>1250.2</v>
      </c>
      <c r="E22" s="38" t="n">
        <f aca="false">(C22-D22)/D22</f>
        <v>0.249000159974404</v>
      </c>
      <c r="F22" s="48" t="n">
        <f aca="false">C22/1956.8</f>
        <v>0.797986508585446</v>
      </c>
    </row>
    <row r="24" customFormat="false" ht="12" hidden="false" customHeight="true" outlineLevel="0" collapsed="false"/>
    <row r="25" customFormat="false" ht="54.75" hidden="false" customHeight="true" outlineLevel="0" collapsed="false">
      <c r="B25" s="32" t="s">
        <v>232</v>
      </c>
      <c r="C25" s="32"/>
      <c r="D25" s="32"/>
      <c r="E25" s="32"/>
      <c r="F25" s="32"/>
      <c r="G25" s="32"/>
    </row>
  </sheetData>
  <mergeCells count="3">
    <mergeCell ref="B7:G7"/>
    <mergeCell ref="B14:G14"/>
    <mergeCell ref="B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7" min="3" style="0" width="13"/>
  </cols>
  <sheetData>
    <row r="2" customFormat="false" ht="30" hidden="false" customHeight="true" outlineLevel="0" collapsed="false">
      <c r="B2" s="14" t="s">
        <v>233</v>
      </c>
    </row>
    <row r="3" customFormat="false" ht="19.5" hidden="false" customHeight="true" outlineLevel="0" collapsed="false">
      <c r="B3" s="15" t="s">
        <v>234</v>
      </c>
    </row>
    <row r="4" customFormat="false" ht="25.5" hidden="false" customHeight="true" outlineLevel="0" collapsed="false">
      <c r="B4" s="16" t="s">
        <v>235</v>
      </c>
    </row>
    <row r="5" customFormat="false" ht="7.5" hidden="false" customHeight="true" outlineLevel="0" collapsed="false"/>
    <row r="7" customFormat="false" ht="24" hidden="false" customHeight="true" outlineLevel="0" collapsed="false">
      <c r="B7" s="50" t="s">
        <v>236</v>
      </c>
      <c r="C7" s="50"/>
      <c r="D7" s="50"/>
      <c r="E7" s="50"/>
      <c r="F7" s="50"/>
      <c r="G7" s="50"/>
    </row>
    <row r="8" customFormat="false" ht="25.5" hidden="false" customHeight="true" outlineLevel="0" collapsed="false">
      <c r="B8" s="17" t="s">
        <v>4</v>
      </c>
      <c r="C8" s="18" t="s">
        <v>107</v>
      </c>
      <c r="D8" s="18" t="s">
        <v>108</v>
      </c>
      <c r="E8" s="18" t="s">
        <v>237</v>
      </c>
      <c r="F8" s="18" t="s">
        <v>238</v>
      </c>
      <c r="G8" s="18" t="s">
        <v>239</v>
      </c>
    </row>
    <row r="9" customFormat="false" ht="21.75" hidden="false" customHeight="true" outlineLevel="0" collapsed="false">
      <c r="B9" s="23" t="s">
        <v>240</v>
      </c>
      <c r="C9" s="55" t="n">
        <v>54.59</v>
      </c>
      <c r="D9" s="55" t="n">
        <v>47.67</v>
      </c>
      <c r="E9" s="55" t="n">
        <v>30.85</v>
      </c>
      <c r="F9" s="26" t="n">
        <v>0.145164673799035</v>
      </c>
      <c r="G9" s="26" t="n">
        <v>0.769529983792545</v>
      </c>
    </row>
    <row r="10" customFormat="false" ht="21.75" hidden="false" customHeight="true" outlineLevel="0" collapsed="false">
      <c r="B10" s="23" t="s">
        <v>241</v>
      </c>
      <c r="C10" s="55" t="n">
        <v>62.75</v>
      </c>
      <c r="D10" s="55" t="n">
        <v>56.01</v>
      </c>
      <c r="E10" s="55" t="n">
        <v>33.55</v>
      </c>
      <c r="F10" s="26" t="n">
        <v>0.120335654347438</v>
      </c>
      <c r="G10" s="26" t="n">
        <v>0.870342771982116</v>
      </c>
    </row>
    <row r="11" customFormat="false" ht="21.75" hidden="false" customHeight="true" outlineLevel="0" collapsed="false">
      <c r="B11" s="23" t="s">
        <v>242</v>
      </c>
      <c r="C11" s="55" t="n">
        <v>72.28</v>
      </c>
      <c r="D11" s="55" t="n">
        <v>64.15</v>
      </c>
      <c r="E11" s="55" t="n">
        <v>39.92</v>
      </c>
      <c r="F11" s="26" t="n">
        <v>0.126734216679657</v>
      </c>
      <c r="G11" s="26" t="n">
        <v>0.81062124248497</v>
      </c>
    </row>
    <row r="12" customFormat="false" ht="21.75" hidden="false" customHeight="true" outlineLevel="0" collapsed="false">
      <c r="B12" s="23" t="s">
        <v>243</v>
      </c>
      <c r="C12" s="55" t="n">
        <v>3.15</v>
      </c>
      <c r="D12" s="55" t="n">
        <v>2.87</v>
      </c>
      <c r="E12" s="55" t="n">
        <v>1.69</v>
      </c>
      <c r="F12" s="26" t="n">
        <v>0.097560975609756</v>
      </c>
      <c r="G12" s="26" t="n">
        <v>0.863905325443787</v>
      </c>
    </row>
    <row r="14" customFormat="false" ht="12" hidden="false" customHeight="true" outlineLevel="0" collapsed="false"/>
    <row r="15" customFormat="false" ht="24" hidden="false" customHeight="true" outlineLevel="0" collapsed="false">
      <c r="B15" s="50" t="s">
        <v>244</v>
      </c>
      <c r="C15" s="50"/>
      <c r="D15" s="50"/>
      <c r="E15" s="50"/>
      <c r="F15" s="50"/>
      <c r="G15" s="50"/>
    </row>
    <row r="16" customFormat="false" ht="25.5" hidden="false" customHeight="true" outlineLevel="0" collapsed="false">
      <c r="B16" s="17" t="s">
        <v>4</v>
      </c>
      <c r="C16" s="18" t="s">
        <v>60</v>
      </c>
      <c r="D16" s="18" t="s">
        <v>245</v>
      </c>
    </row>
    <row r="17" customFormat="false" ht="21.75" hidden="false" customHeight="true" outlineLevel="0" collapsed="false">
      <c r="B17" s="23" t="s">
        <v>240</v>
      </c>
      <c r="C17" s="55" t="n">
        <v>47.5</v>
      </c>
      <c r="D17" s="55" t="n">
        <v>49.36</v>
      </c>
    </row>
    <row r="18" customFormat="false" ht="21.75" hidden="false" customHeight="true" outlineLevel="0" collapsed="false">
      <c r="B18" s="23" t="s">
        <v>241</v>
      </c>
      <c r="C18" s="55" t="n">
        <v>56.24</v>
      </c>
      <c r="D18" s="55" t="n">
        <v>55.29</v>
      </c>
    </row>
    <row r="19" customFormat="false" ht="21.75" hidden="false" customHeight="true" outlineLevel="0" collapsed="false">
      <c r="B19" s="23" t="s">
        <v>242</v>
      </c>
      <c r="C19" s="55" t="n">
        <v>64.55</v>
      </c>
      <c r="D19" s="55" t="n">
        <v>64.85</v>
      </c>
    </row>
    <row r="20" customFormat="false" ht="21.75" hidden="false" customHeight="true" outlineLevel="0" collapsed="false">
      <c r="B20" s="23" t="s">
        <v>243</v>
      </c>
      <c r="C20" s="55" t="n">
        <v>2.94</v>
      </c>
      <c r="D20" s="55" t="n">
        <v>2.75</v>
      </c>
    </row>
    <row r="22" customFormat="false" ht="12" hidden="false" customHeight="true" outlineLevel="0" collapsed="false"/>
    <row r="23" customFormat="false" ht="24" hidden="false" customHeight="true" outlineLevel="0" collapsed="false">
      <c r="B23" s="31" t="s">
        <v>246</v>
      </c>
      <c r="C23" s="31"/>
      <c r="D23" s="31"/>
      <c r="E23" s="31"/>
      <c r="F23" s="31"/>
      <c r="G23" s="31"/>
    </row>
    <row r="24" customFormat="false" ht="54.75" hidden="false" customHeight="true" outlineLevel="0" collapsed="false">
      <c r="B24" s="56" t="s">
        <v>247</v>
      </c>
      <c r="C24" s="56"/>
      <c r="D24" s="56"/>
      <c r="E24" s="56"/>
      <c r="F24" s="56"/>
      <c r="G24" s="56"/>
    </row>
  </sheetData>
  <mergeCells count="4">
    <mergeCell ref="B7:G7"/>
    <mergeCell ref="B15:G15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4"/>
  </cols>
  <sheetData>
    <row r="2" customFormat="false" ht="30" hidden="false" customHeight="true" outlineLevel="0" collapsed="false">
      <c r="B2" s="14" t="s">
        <v>248</v>
      </c>
    </row>
    <row r="3" customFormat="false" ht="19.5" hidden="false" customHeight="true" outlineLevel="0" collapsed="false">
      <c r="B3" s="15" t="s">
        <v>249</v>
      </c>
    </row>
    <row r="4" customFormat="false" ht="25.5" hidden="false" customHeight="true" outlineLevel="0" collapsed="false">
      <c r="B4" s="16" t="s">
        <v>250</v>
      </c>
    </row>
    <row r="5" customFormat="false" ht="7.5" hidden="false" customHeight="true" outlineLevel="0" collapsed="false"/>
    <row r="7" customFormat="false" ht="24" hidden="false" customHeight="true" outlineLevel="0" collapsed="false">
      <c r="B7" s="50" t="s">
        <v>251</v>
      </c>
      <c r="C7" s="50"/>
      <c r="D7" s="50"/>
      <c r="E7" s="50"/>
    </row>
    <row r="8" customFormat="false" ht="25.5" hidden="false" customHeight="true" outlineLevel="0" collapsed="false">
      <c r="B8" s="17" t="s">
        <v>84</v>
      </c>
      <c r="C8" s="18" t="s">
        <v>60</v>
      </c>
      <c r="D8" s="18" t="s">
        <v>61</v>
      </c>
      <c r="E8" s="18" t="s">
        <v>85</v>
      </c>
    </row>
    <row r="9" customFormat="false" ht="21.75" hidden="false" customHeight="true" outlineLevel="0" collapsed="false">
      <c r="B9" s="51" t="s">
        <v>252</v>
      </c>
      <c r="C9" s="45" t="n">
        <v>23.3</v>
      </c>
      <c r="D9" s="45" t="n">
        <v>33.6</v>
      </c>
      <c r="E9" s="38" t="n">
        <v>-0.306547619047619</v>
      </c>
    </row>
    <row r="10" customFormat="false" ht="21.75" hidden="false" customHeight="true" outlineLevel="0" collapsed="false">
      <c r="B10" s="23" t="s">
        <v>253</v>
      </c>
      <c r="C10" s="44" t="n">
        <v>-21.2</v>
      </c>
      <c r="D10" s="44" t="n">
        <v>-25.1</v>
      </c>
      <c r="E10" s="39" t="n">
        <v>0.155378486055777</v>
      </c>
    </row>
    <row r="11" customFormat="false" ht="21.75" hidden="false" customHeight="true" outlineLevel="0" collapsed="false">
      <c r="B11" s="51" t="s">
        <v>66</v>
      </c>
      <c r="C11" s="45" t="n">
        <v>2.2</v>
      </c>
      <c r="D11" s="45" t="n">
        <v>8.5</v>
      </c>
      <c r="E11" s="38" t="n">
        <v>-0.741176470588235</v>
      </c>
    </row>
    <row r="12" customFormat="false" ht="21.75" hidden="false" customHeight="true" outlineLevel="0" collapsed="false">
      <c r="B12" s="23" t="s">
        <v>254</v>
      </c>
      <c r="C12" s="44" t="n">
        <v>-5.8</v>
      </c>
      <c r="D12" s="44" t="n">
        <v>-6.2</v>
      </c>
      <c r="E12" s="39" t="n">
        <v>0.0645161290322581</v>
      </c>
    </row>
    <row r="13" customFormat="false" ht="21.75" hidden="false" customHeight="true" outlineLevel="0" collapsed="false">
      <c r="B13" s="23" t="s">
        <v>72</v>
      </c>
      <c r="C13" s="44" t="n">
        <v>0</v>
      </c>
      <c r="D13" s="44" t="n">
        <v>-0.1</v>
      </c>
      <c r="E13" s="39" t="n">
        <v>1</v>
      </c>
    </row>
    <row r="14" customFormat="false" ht="21.75" hidden="false" customHeight="true" outlineLevel="0" collapsed="false">
      <c r="B14" s="51" t="s">
        <v>255</v>
      </c>
      <c r="C14" s="45" t="n">
        <v>-3.6</v>
      </c>
      <c r="D14" s="45" t="n">
        <v>2.2</v>
      </c>
      <c r="E14" s="38" t="n">
        <v>-2.63636363636364</v>
      </c>
    </row>
    <row r="16" customFormat="false" ht="12" hidden="false" customHeight="true" outlineLevel="0" collapsed="false"/>
    <row r="17" customFormat="false" ht="54.75" hidden="false" customHeight="true" outlineLevel="0" collapsed="false">
      <c r="B17" s="56" t="s">
        <v>256</v>
      </c>
      <c r="C17" s="56"/>
      <c r="D17" s="56"/>
      <c r="E17" s="56"/>
    </row>
  </sheetData>
  <mergeCells count="2">
    <mergeCell ref="B7:E7"/>
    <mergeCell ref="B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23" min="3" style="0" width="11"/>
  </cols>
  <sheetData>
    <row r="2" customFormat="false" ht="30" hidden="false" customHeight="true" outlineLevel="0" collapsed="false">
      <c r="B2" s="14" t="s">
        <v>257</v>
      </c>
    </row>
    <row r="3" customFormat="false" ht="19.5" hidden="false" customHeight="true" outlineLevel="0" collapsed="false">
      <c r="B3" s="15" t="s">
        <v>258</v>
      </c>
    </row>
    <row r="4" customFormat="false" ht="25.5" hidden="false" customHeight="true" outlineLevel="0" collapsed="false">
      <c r="B4" s="16" t="s">
        <v>259</v>
      </c>
    </row>
    <row r="5" customFormat="false" ht="7.5" hidden="false" customHeight="true" outlineLevel="0" collapsed="false"/>
    <row r="7" customFormat="false" ht="24" hidden="false" customHeight="true" outlineLevel="0" collapsed="false">
      <c r="B7" s="50" t="s">
        <v>260</v>
      </c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</row>
    <row r="8" customFormat="false" ht="24" hidden="false" customHeight="true" outlineLevel="0" collapsed="false">
      <c r="B8" s="17" t="s">
        <v>261</v>
      </c>
      <c r="C8" s="18" t="s">
        <v>262</v>
      </c>
      <c r="D8" s="18" t="s">
        <v>263</v>
      </c>
      <c r="E8" s="18" t="s">
        <v>264</v>
      </c>
      <c r="F8" s="18" t="s">
        <v>265</v>
      </c>
      <c r="G8" s="18" t="s">
        <v>266</v>
      </c>
      <c r="H8" s="18" t="s">
        <v>267</v>
      </c>
      <c r="I8" s="18" t="s">
        <v>268</v>
      </c>
      <c r="J8" s="18" t="s">
        <v>269</v>
      </c>
      <c r="K8" s="18" t="s">
        <v>270</v>
      </c>
      <c r="L8" s="18" t="s">
        <v>271</v>
      </c>
      <c r="M8" s="18" t="s">
        <v>272</v>
      </c>
      <c r="N8" s="18" t="s">
        <v>273</v>
      </c>
      <c r="O8" s="18" t="s">
        <v>274</v>
      </c>
      <c r="P8" s="18" t="s">
        <v>275</v>
      </c>
      <c r="Q8" s="18" t="s">
        <v>276</v>
      </c>
      <c r="R8" s="18" t="s">
        <v>277</v>
      </c>
      <c r="S8" s="18" t="s">
        <v>278</v>
      </c>
      <c r="T8" s="18" t="s">
        <v>279</v>
      </c>
      <c r="U8" s="18" t="s">
        <v>280</v>
      </c>
      <c r="V8" s="18" t="s">
        <v>281</v>
      </c>
      <c r="W8" s="18" t="s">
        <v>282</v>
      </c>
    </row>
    <row r="9" customFormat="false" ht="21.75" hidden="false" customHeight="true" outlineLevel="0" collapsed="false">
      <c r="B9" s="51" t="s">
        <v>283</v>
      </c>
      <c r="C9" s="57" t="n">
        <v>600.5</v>
      </c>
      <c r="D9" s="57" t="n">
        <v>636</v>
      </c>
      <c r="E9" s="57" t="n">
        <v>679.6</v>
      </c>
      <c r="F9" s="57" t="n">
        <v>726.1</v>
      </c>
      <c r="G9" s="57" t="n">
        <v>745.5</v>
      </c>
      <c r="H9" s="57" t="n">
        <v>723.3</v>
      </c>
      <c r="I9" s="57" t="n">
        <v>854.6</v>
      </c>
      <c r="J9" s="57" t="n">
        <v>950.4</v>
      </c>
      <c r="K9" s="57" t="n">
        <v>1216.7</v>
      </c>
      <c r="L9" s="57" t="n">
        <v>1184.5</v>
      </c>
      <c r="M9" s="57" t="n">
        <v>1218.7</v>
      </c>
      <c r="N9" s="57" t="n">
        <v>1223</v>
      </c>
      <c r="O9" s="57" t="n">
        <v>1388.8</v>
      </c>
      <c r="P9" s="57" t="n">
        <v>1545.8</v>
      </c>
      <c r="Q9" s="57" t="n">
        <v>1925.5</v>
      </c>
      <c r="R9" s="57" t="n">
        <v>1784.6</v>
      </c>
      <c r="S9" s="57" t="n">
        <v>1690.6</v>
      </c>
      <c r="T9" s="57" t="n">
        <v>1877.5</v>
      </c>
      <c r="U9" s="57" t="n">
        <v>2174.4</v>
      </c>
      <c r="V9" s="57" t="n">
        <v>2061.1</v>
      </c>
      <c r="W9" s="58" t="n">
        <v>1956.8</v>
      </c>
    </row>
    <row r="11" customFormat="false" ht="12" hidden="false" customHeight="true" outlineLevel="0" collapsed="false"/>
    <row r="12" customFormat="false" ht="24" hidden="false" customHeight="true" outlineLevel="0" collapsed="false">
      <c r="B12" s="50" t="s">
        <v>284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</row>
    <row r="13" customFormat="false" ht="24" hidden="false" customHeight="true" outlineLevel="0" collapsed="false">
      <c r="B13" s="17" t="s">
        <v>285</v>
      </c>
      <c r="C13" s="18" t="s">
        <v>286</v>
      </c>
      <c r="D13" s="18" t="s">
        <v>287</v>
      </c>
      <c r="E13" s="18" t="s">
        <v>288</v>
      </c>
      <c r="F13" s="18" t="s">
        <v>289</v>
      </c>
    </row>
    <row r="14" customFormat="false" ht="21.75" hidden="false" customHeight="true" outlineLevel="0" collapsed="false">
      <c r="B14" s="23" t="s">
        <v>290</v>
      </c>
      <c r="C14" s="57" t="n">
        <v>600.5</v>
      </c>
      <c r="D14" s="57" t="n">
        <v>636</v>
      </c>
      <c r="E14" s="59" t="n">
        <v>1.05911740216486</v>
      </c>
    </row>
    <row r="15" customFormat="false" ht="21.75" hidden="false" customHeight="true" outlineLevel="0" collapsed="false">
      <c r="B15" s="23" t="s">
        <v>291</v>
      </c>
      <c r="C15" s="57" t="n">
        <v>745.5</v>
      </c>
      <c r="D15" s="57" t="n">
        <v>723.3</v>
      </c>
      <c r="E15" s="59" t="n">
        <v>0.970221327967807</v>
      </c>
      <c r="F15" s="60" t="n">
        <v>0.241465445462115</v>
      </c>
    </row>
    <row r="16" customFormat="false" ht="21.75" hidden="false" customHeight="true" outlineLevel="0" collapsed="false">
      <c r="B16" s="23" t="s">
        <v>292</v>
      </c>
      <c r="C16" s="57" t="n">
        <v>1216.7</v>
      </c>
      <c r="D16" s="57" t="n">
        <v>1184.5</v>
      </c>
      <c r="E16" s="59" t="n">
        <v>0.973534971644612</v>
      </c>
      <c r="F16" s="60" t="n">
        <v>0.632059020791415</v>
      </c>
    </row>
    <row r="17" customFormat="false" ht="21.75" hidden="false" customHeight="true" outlineLevel="0" collapsed="false">
      <c r="B17" s="23" t="s">
        <v>293</v>
      </c>
      <c r="C17" s="57" t="n">
        <v>1388.8</v>
      </c>
      <c r="D17" s="57" t="n">
        <v>1545.8</v>
      </c>
      <c r="E17" s="59" t="n">
        <v>1.11304723502304</v>
      </c>
      <c r="F17" s="60" t="n">
        <v>0.141448179501931</v>
      </c>
    </row>
    <row r="18" customFormat="false" ht="21.75" hidden="false" customHeight="true" outlineLevel="0" collapsed="false">
      <c r="B18" s="23" t="s">
        <v>294</v>
      </c>
      <c r="C18" s="57" t="n">
        <v>1690.6</v>
      </c>
      <c r="D18" s="57" t="n">
        <v>1877.5</v>
      </c>
      <c r="E18" s="59" t="n">
        <v>1.11055246657991</v>
      </c>
      <c r="F18" s="60" t="n">
        <v>0.217309907834101</v>
      </c>
    </row>
    <row r="19" customFormat="false" ht="21.75" hidden="false" customHeight="true" outlineLevel="0" collapsed="false">
      <c r="B19" s="23" t="s">
        <v>295</v>
      </c>
      <c r="C19" s="57" t="n">
        <v>1956.8</v>
      </c>
      <c r="D19" s="61" t="s">
        <v>296</v>
      </c>
      <c r="E19" s="29" t="s">
        <v>68</v>
      </c>
      <c r="F19" s="60" t="n">
        <v>0.157458890334792</v>
      </c>
    </row>
    <row r="21" customFormat="false" ht="12" hidden="false" customHeight="true" outlineLevel="0" collapsed="false"/>
    <row r="22" customFormat="false" ht="24" hidden="false" customHeight="true" outlineLevel="0" collapsed="false">
      <c r="B22" s="50" t="s">
        <v>297</v>
      </c>
      <c r="C22" s="50"/>
      <c r="D22" s="50"/>
      <c r="E22" s="50"/>
      <c r="F22" s="50"/>
    </row>
    <row r="23" customFormat="false" ht="24" hidden="false" customHeight="true" outlineLevel="0" collapsed="false">
      <c r="B23" s="17" t="s">
        <v>298</v>
      </c>
      <c r="C23" s="18" t="s">
        <v>299</v>
      </c>
      <c r="D23" s="18" t="s">
        <v>300</v>
      </c>
      <c r="E23" s="18" t="s">
        <v>301</v>
      </c>
      <c r="F23" s="18" t="s">
        <v>302</v>
      </c>
    </row>
    <row r="24" customFormat="false" ht="21.75" hidden="false" customHeight="true" outlineLevel="0" collapsed="false">
      <c r="B24" s="23" t="s">
        <v>303</v>
      </c>
      <c r="C24" s="62" t="s">
        <v>304</v>
      </c>
      <c r="D24" s="63" t="s">
        <v>305</v>
      </c>
      <c r="E24" s="64" t="n">
        <f aca="false">1956.8*AVERAGE(E15:E18)</f>
        <v>2038.67055579456</v>
      </c>
      <c r="F24" s="65" t="n">
        <v>0.5</v>
      </c>
    </row>
    <row r="25" customFormat="false" ht="21.75" hidden="false" customHeight="true" outlineLevel="0" collapsed="false">
      <c r="B25" s="23" t="s">
        <v>306</v>
      </c>
      <c r="C25" s="62" t="s">
        <v>307</v>
      </c>
      <c r="D25" s="63" t="s">
        <v>308</v>
      </c>
      <c r="E25" s="64" t="n">
        <f aca="false">1877.5*(1+F19)</f>
        <v>2173.12906660357</v>
      </c>
      <c r="F25" s="65" t="n">
        <v>0.5</v>
      </c>
    </row>
    <row r="26" customFormat="false" ht="25.5" hidden="false" customHeight="true" outlineLevel="0" collapsed="false">
      <c r="B26" s="19" t="s">
        <v>309</v>
      </c>
      <c r="C26" s="66" t="s">
        <v>310</v>
      </c>
      <c r="D26" s="67" t="s">
        <v>311</v>
      </c>
      <c r="E26" s="68" t="n">
        <f aca="false">E24*F24+E25*F25</f>
        <v>2105.89981119907</v>
      </c>
      <c r="F26" s="69" t="n">
        <f aca="false">F24+F25</f>
        <v>1</v>
      </c>
    </row>
    <row r="28" customFormat="false" ht="12" hidden="false" customHeight="true" outlineLevel="0" collapsed="false"/>
    <row r="29" customFormat="false" ht="54.75" hidden="false" customHeight="true" outlineLevel="0" collapsed="false">
      <c r="B29" s="32" t="s">
        <v>312</v>
      </c>
      <c r="C29" s="32"/>
      <c r="D29" s="32"/>
      <c r="E29" s="32"/>
      <c r="F29" s="32"/>
    </row>
  </sheetData>
  <mergeCells count="4">
    <mergeCell ref="B7:V7"/>
    <mergeCell ref="B12:V12"/>
    <mergeCell ref="B22:F22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2026-05-30T12:57:57Z</dcterms:created>
  <dc:creator>openpyxl</dc:creator>
  <dc:description/>
  <dc:language>en-US</dc:language>
  <cp:lastModifiedBy/>
  <dcterms:modified xsi:type="dcterms:W3CDTF">2026-05-30T12:57:57Z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